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Grille" sheetId="2" state="visible" r:id="rId2"/>
    <sheet xmlns:r="http://schemas.openxmlformats.org/officeDocument/2006/relationships" name="Devis Visuo" sheetId="3" state="visible" r:id="rId3"/>
    <sheet xmlns:r="http://schemas.openxmlformats.org/officeDocument/2006/relationships" name="Devis Logia" sheetId="4" state="visible" r:id="rId4"/>
    <sheet xmlns:r="http://schemas.openxmlformats.org/officeDocument/2006/relationships" name="Facture DEX" sheetId="5" state="visible" r:id="rId5"/>
    <sheet xmlns:r="http://schemas.openxmlformats.org/officeDocument/2006/relationships" name="Facture Visuo" sheetId="6" state="visible" r:id="rId6"/>
    <sheet xmlns:r="http://schemas.openxmlformats.org/officeDocument/2006/relationships" name="Facture Logia" sheetId="7" state="visible" r:id="rId7"/>
  </sheets>
  <definedNames>
    <definedName name="Articles">Grille!$D$5:$D$91</definedName>
    <definedName name="Prix">Grille!$E$5:$E$91</definedName>
    <definedName name="Types">Grille!$F$5:$F$91</definedName>
    <definedName name="Liste_DEX">Grille!$D$5:$D$36</definedName>
    <definedName name="Liste_Visuo">Grille!$D$38:$D$72</definedName>
    <definedName name="Liste_Logia">Grille!$D$74:$D$91</definedName>
    <definedName name="_xlnm.Print_Area" localSheetId="2">'Devis Visuo'!$A$1:$E$41</definedName>
    <definedName name="_xlnm.Print_Area" localSheetId="3">'Devis Logia'!$A$1:$E$40</definedName>
    <definedName name="_xlnm.Print_Area" localSheetId="4">'Facture DEX'!$A$1:$D$26</definedName>
    <definedName name="_xlnm.Print_Area" localSheetId="5">'Facture Visuo'!$A$1:$D$25</definedName>
    <definedName name="_xlnm.Print_Area" localSheetId="6">'Facture Logia'!$A$1:$D$25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&quot; XAF&quot;;;&quot;&quot;"/>
    <numFmt numFmtId="166" formatCode="#,##0&quot; XAF&quot;"/>
  </numFmts>
  <fonts count="25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</font>
    <font>
      <color rgb="001E40AF"/>
    </font>
    <font>
      <b val="1"/>
      <sz val="10"/>
    </font>
    <font>
      <color rgb="006B7280"/>
      <sz val="9"/>
    </font>
    <font>
      <b val="1"/>
      <color rgb="00FF6A00"/>
      <sz val="9"/>
    </font>
    <font>
      <b val="1"/>
      <sz val="9"/>
    </font>
    <font>
      <sz val="9"/>
    </font>
    <font>
      <b val="1"/>
      <color rgb="00FF6A00"/>
    </font>
    <font>
      <b val="1"/>
      <color rgb="00111827"/>
      <sz val="11"/>
    </font>
    <font>
      <color rgb="004B5563"/>
      <sz val="9"/>
    </font>
    <font>
      <b val="1"/>
      <color rgb="00FFFFFF"/>
      <sz val="10"/>
    </font>
    <font>
      <sz val="10"/>
    </font>
    <font>
      <b val="1"/>
    </font>
    <font>
      <b val="1"/>
      <color rgb="00FFFFFF"/>
      <sz val="12"/>
    </font>
    <font>
      <color rgb="004B5563"/>
      <sz val="8"/>
    </font>
    <font>
      <color rgb="006B7280"/>
      <sz val="8"/>
    </font>
    <font>
      <b val="1"/>
      <color rgb="001E9FD9"/>
      <sz val="9"/>
    </font>
    <font>
      <b val="1"/>
      <color rgb="001E9FD9"/>
    </font>
    <font>
      <b val="1"/>
      <color rgb="001E6FD9"/>
      <sz val="9"/>
    </font>
    <font>
      <b val="1"/>
      <color rgb="001E6FD9"/>
    </font>
    <font>
      <b val="1"/>
      <color rgb="00FFFFFF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F4B8"/>
      </patternFill>
    </fill>
    <fill>
      <patternFill patternType="solid">
        <fgColor rgb="00FF6A00"/>
      </patternFill>
    </fill>
    <fill>
      <patternFill patternType="solid">
        <fgColor rgb="001E9FD9"/>
      </patternFill>
    </fill>
    <fill>
      <patternFill patternType="solid">
        <fgColor rgb="001E6FD9"/>
      </patternFill>
    </fill>
  </fills>
  <borders count="5">
    <border>
      <left/>
      <right/>
      <top/>
      <bottom/>
      <diagonal/>
    </border>
    <border>
      <bottom style="thin">
        <color rgb="00D9DCE3"/>
      </bottom>
    </border>
    <border>
      <bottom style="medium">
        <color rgb="00FF6A00"/>
      </bottom>
    </border>
    <border>
      <bottom style="medium">
        <color rgb="001E9FD9"/>
      </bottom>
    </border>
    <border>
      <bottom style="medium">
        <color rgb="001E6FD9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0" fillId="0" borderId="2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10" fillId="3" borderId="0" applyAlignment="1" pivotButton="0" quotePrefix="0" xfId="0">
      <alignment horizontal="right"/>
    </xf>
    <xf numFmtId="0" fontId="11" fillId="3" borderId="0" pivotButton="0" quotePrefix="0" xfId="0"/>
    <xf numFmtId="0" fontId="9" fillId="0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12" fillId="3" borderId="0" pivotButton="0" quotePrefix="0" xfId="0"/>
    <xf numFmtId="0" fontId="0" fillId="3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3" fillId="2" borderId="0" applyAlignment="1" pivotButton="0" quotePrefix="0" xfId="0">
      <alignment horizontal="left"/>
    </xf>
    <xf numFmtId="0" fontId="13" fillId="2" borderId="0" applyAlignment="1" pivotButton="0" quotePrefix="0" xfId="0">
      <alignment horizontal="center"/>
    </xf>
    <xf numFmtId="0" fontId="14" fillId="3" borderId="1" applyAlignment="1" pivotButton="0" quotePrefix="0" xfId="0">
      <alignment vertical="center" wrapText="1"/>
    </xf>
    <xf numFmtId="0" fontId="14" fillId="3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165" fontId="14" fillId="0" borderId="1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0" fontId="16" fillId="4" borderId="0" applyAlignment="1" pivotButton="0" quotePrefix="0" xfId="0">
      <alignment horizontal="right"/>
    </xf>
    <xf numFmtId="0" fontId="16" fillId="4" borderId="0" pivotButton="0" quotePrefix="0" xfId="0"/>
    <xf numFmtId="166" fontId="16" fillId="4" borderId="0" applyAlignment="1" pivotButton="0" quotePrefix="0" xfId="0">
      <alignment horizontal="right"/>
    </xf>
    <xf numFmtId="0" fontId="17" fillId="0" borderId="0" applyAlignment="1" pivotButton="0" quotePrefix="0" xfId="0">
      <alignment wrapText="1"/>
    </xf>
    <xf numFmtId="0" fontId="15" fillId="0" borderId="0" pivotButton="0" quotePrefix="0" xfId="0"/>
    <xf numFmtId="0" fontId="18" fillId="0" borderId="0" pivotButton="0" quotePrefix="0" xfId="0"/>
    <xf numFmtId="0" fontId="6" fillId="0" borderId="3" pivotButton="0" quotePrefix="0" xfId="0"/>
    <xf numFmtId="0" fontId="0" fillId="0" borderId="3" pivotButton="0" quotePrefix="0" xfId="0"/>
    <xf numFmtId="0" fontId="19" fillId="0" borderId="0" pivotButton="0" quotePrefix="0" xfId="0"/>
    <xf numFmtId="0" fontId="20" fillId="3" borderId="0" applyAlignment="1" pivotButton="0" quotePrefix="0" xfId="0">
      <alignment horizontal="right"/>
    </xf>
    <xf numFmtId="0" fontId="16" fillId="5" borderId="0" applyAlignment="1" pivotButton="0" quotePrefix="0" xfId="0">
      <alignment horizontal="right"/>
    </xf>
    <xf numFmtId="0" fontId="16" fillId="5" borderId="0" pivotButton="0" quotePrefix="0" xfId="0"/>
    <xf numFmtId="166" fontId="16" fillId="5" borderId="0" applyAlignment="1" pivotButton="0" quotePrefix="0" xfId="0">
      <alignment horizontal="right"/>
    </xf>
    <xf numFmtId="0" fontId="6" fillId="0" borderId="4" pivotButton="0" quotePrefix="0" xfId="0"/>
    <xf numFmtId="0" fontId="0" fillId="0" borderId="4" pivotButton="0" quotePrefix="0" xfId="0"/>
    <xf numFmtId="0" fontId="21" fillId="0" borderId="0" pivotButton="0" quotePrefix="0" xfId="0"/>
    <xf numFmtId="0" fontId="22" fillId="3" borderId="0" applyAlignment="1" pivotButton="0" quotePrefix="0" xfId="0">
      <alignment horizontal="right"/>
    </xf>
    <xf numFmtId="0" fontId="5" fillId="3" borderId="0" pivotButton="0" quotePrefix="0" xfId="0"/>
    <xf numFmtId="0" fontId="9" fillId="3" borderId="0" pivotButton="0" quotePrefix="0" xfId="0"/>
    <xf numFmtId="0" fontId="23" fillId="2" borderId="0" applyAlignment="1" pivotButton="0" quotePrefix="0" xfId="0">
      <alignment horizontal="left"/>
    </xf>
    <xf numFmtId="0" fontId="23" fillId="2" borderId="0" applyAlignment="1" pivotButton="0" quotePrefix="0" xfId="0">
      <alignment horizontal="center"/>
    </xf>
    <xf numFmtId="0" fontId="24" fillId="6" borderId="0" applyAlignment="1" pivotButton="0" quotePrefix="0" xfId="0">
      <alignment horizontal="right"/>
    </xf>
    <xf numFmtId="0" fontId="24" fillId="6" borderId="0" pivotButton="0" quotePrefix="0" xfId="0"/>
    <xf numFmtId="166" fontId="24" fillId="6" borderId="0" pivotButton="0" quotePrefix="0" xfId="0"/>
    <xf numFmtId="0" fontId="12" fillId="0" borderId="0" applyAlignment="1" pivotButton="0" quotePrefix="0" xfId="0">
      <alignment horizontal="right"/>
    </xf>
    <xf numFmtId="164" fontId="9" fillId="3" borderId="0" applyAlignment="1" pivotButton="0" quotePrefix="0" xfId="0">
      <alignment horizontal="left"/>
    </xf>
    <xf numFmtId="0" fontId="22" fillId="0" borderId="0" applyAlignment="1" pivotButton="0" quotePrefix="0" xfId="0">
      <alignment horizontal="center"/>
    </xf>
    <xf numFmtId="0" fontId="24" fillId="4" borderId="0" applyAlignment="1" pivotButton="0" quotePrefix="0" xfId="0">
      <alignment horizontal="right"/>
    </xf>
    <xf numFmtId="0" fontId="24" fillId="4" borderId="0" pivotButton="0" quotePrefix="0" xfId="0"/>
    <xf numFmtId="166" fontId="24" fillId="4" borderId="0" pivotButton="0" quotePrefix="0" xfId="0"/>
    <xf numFmtId="0" fontId="10" fillId="0" borderId="0" applyAlignment="1" pivotButton="0" quotePrefix="0" xfId="0">
      <alignment horizontal="center"/>
    </xf>
    <xf numFmtId="0" fontId="24" fillId="5" borderId="0" applyAlignment="1" pivotButton="0" quotePrefix="0" xfId="0">
      <alignment horizontal="right"/>
    </xf>
    <xf numFmtId="0" fontId="24" fillId="5" borderId="0" pivotButton="0" quotePrefix="0" xfId="0"/>
    <xf numFmtId="166" fontId="24" fillId="5" borderId="0" pivotButton="0" quotePrefix="0" xfId="0"/>
    <xf numFmtId="0" fontId="2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907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66675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19075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66675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847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0</row>
      <rowOff>0</rowOff>
    </from>
    <ext cx="523875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0</row>
      <rowOff>0</rowOff>
    </from>
    <ext cx="523875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0</row>
      <rowOff>0</rowOff>
    </from>
    <ext cx="523875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DEVIS ET FACTURES DWTS</t>
        </is>
      </c>
    </row>
    <row r="2">
      <c r="A2" s="2" t="inlineStr"/>
    </row>
    <row r="3">
      <c r="A3" s="3" t="inlineStr">
        <is>
          <t>Devis (Visuo, Logia)</t>
        </is>
      </c>
    </row>
    <row r="4">
      <c r="A4" s="2" t="inlineStr">
        <is>
          <t>1. Ouvrir l'onglet « Devis Visuo » ou « Devis Logia ».</t>
        </is>
      </c>
    </row>
    <row r="5">
      <c r="A5" s="2" t="inlineStr">
        <is>
          <t>2. Remplir les cases jaunes : numéro, nom du client, besoin, WhatsApp.</t>
        </is>
      </c>
    </row>
    <row r="6">
      <c r="A6" s="2" t="inlineStr">
        <is>
          <t>3. Pour chaque ligne, choisir l'article dans la liste (pack ou prix fixe, selon le besoin du client) et la quantité.</t>
        </is>
      </c>
    </row>
    <row r="7">
      <c r="A7" s="2" t="inlineStr">
        <is>
          <t xml:space="preserve">   Type, prix et totaux se remplissent seuls : total unique, total mensuel et total à payer au démarrage.</t>
        </is>
      </c>
    </row>
    <row r="8">
      <c r="A8" s="2" t="inlineStr">
        <is>
          <t>4. Fichier &gt; Imprimer (ou Exporter en PDF) : la mise en page A4 est déjà réglée.</t>
        </is>
      </c>
    </row>
    <row r="9">
      <c r="A9" s="2" t="inlineStr"/>
    </row>
    <row r="10">
      <c r="A10" s="3" t="inlineStr">
        <is>
          <t>Factures (DEX, Visuo, Logia)</t>
        </is>
      </c>
    </row>
    <row r="11">
      <c r="A11" s="2" t="inlineStr">
        <is>
          <t>Après chaque paiement validé : onglet « Facture » de la branche, cases jaunes, articles, puis impression A5 ou PDF.</t>
        </is>
      </c>
    </row>
    <row r="12">
      <c r="A12" s="2" t="inlineStr">
        <is>
          <t>Le tableau des paiements (outils-paiement) crée aussi une facture PDF automatique à chaque statut « Validé ».</t>
        </is>
      </c>
    </row>
    <row r="13">
      <c r="A13" s="2" t="inlineStr"/>
    </row>
    <row r="14">
      <c r="A14" s="3" t="inlineStr">
        <is>
          <t>Prix</t>
        </is>
      </c>
    </row>
    <row r="15">
      <c r="A15" s="2" t="inlineStr">
        <is>
          <t>Onglet « Grille » : prix en bleu modifiables. Un article absent de la liste peut être tapé à la main, avec son prix.</t>
        </is>
      </c>
    </row>
    <row r="16">
      <c r="A16" s="2" t="inlineStr">
        <is>
          <t>Numérotation : DEV-V-001, DEV-L-001 ; FAC-D-0001, FAC-V-0001, FAC-L-0001 (augmenter le numéro à chaque document).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66" customWidth="1" min="4" max="4"/>
    <col width="12" customWidth="1" min="5" max="5"/>
    <col width="10" customWidth="1" min="6" max="6"/>
  </cols>
  <sheetData>
    <row r="1">
      <c r="A1" s="4" t="inlineStr">
        <is>
          <t>GRILLE DE PRIX DWTS (XAF)</t>
        </is>
      </c>
    </row>
    <row r="2">
      <c r="A2" s="5" t="inlineStr">
        <is>
          <t>Prix de tarifs.html. Les prix en bleu sont modifiables : devis et factures se recalculent.</t>
        </is>
      </c>
    </row>
    <row r="4">
      <c r="A4" s="6" t="inlineStr">
        <is>
          <t>Branche</t>
        </is>
      </c>
      <c r="B4" s="6" t="inlineStr">
        <is>
          <t>Prestation</t>
        </is>
      </c>
      <c r="C4" s="6" t="inlineStr">
        <is>
          <t>Formule</t>
        </is>
      </c>
      <c r="D4" s="6" t="inlineStr">
        <is>
          <t>Article (liste des devis et factures)</t>
        </is>
      </c>
      <c r="E4" s="6" t="inlineStr">
        <is>
          <t>Prix (XAF)</t>
        </is>
      </c>
      <c r="F4" s="6" t="inlineStr">
        <is>
          <t>Type</t>
        </is>
      </c>
    </row>
    <row r="5">
      <c r="A5" s="7" t="inlineStr">
        <is>
          <t>DEX</t>
        </is>
      </c>
      <c r="B5" s="7" t="inlineStr">
        <is>
          <t>Exposé palier 1 (4 pages ou moins)</t>
        </is>
      </c>
      <c r="C5" s="7" t="inlineStr">
        <is>
          <t>Mode 1</t>
        </is>
      </c>
      <c r="D5" s="7" t="inlineStr">
        <is>
          <t>Exposé palier 1 (4 pages ou moins) · Mode 1</t>
        </is>
      </c>
      <c r="E5" s="8" t="n">
        <v>2500</v>
      </c>
      <c r="F5" s="7" t="inlineStr">
        <is>
          <t>Unique</t>
        </is>
      </c>
    </row>
    <row r="6">
      <c r="A6" s="7" t="inlineStr">
        <is>
          <t>DEX</t>
        </is>
      </c>
      <c r="B6" s="7" t="inlineStr">
        <is>
          <t>Exposé palier 1 (4 pages ou moins)</t>
        </is>
      </c>
      <c r="C6" s="7" t="inlineStr">
        <is>
          <t>Mode 2</t>
        </is>
      </c>
      <c r="D6" s="7" t="inlineStr">
        <is>
          <t>Exposé palier 1 (4 pages ou moins) · Mode 2</t>
        </is>
      </c>
      <c r="E6" s="8" t="n">
        <v>4000</v>
      </c>
      <c r="F6" s="7" t="inlineStr">
        <is>
          <t>Unique</t>
        </is>
      </c>
    </row>
    <row r="7">
      <c r="A7" s="7" t="inlineStr">
        <is>
          <t>DEX</t>
        </is>
      </c>
      <c r="B7" s="7" t="inlineStr">
        <is>
          <t>Exposé palier 1 (4 pages ou moins)</t>
        </is>
      </c>
      <c r="C7" s="7" t="inlineStr">
        <is>
          <t>Mode 3</t>
        </is>
      </c>
      <c r="D7" s="7" t="inlineStr">
        <is>
          <t>Exposé palier 1 (4 pages ou moins) · Mode 3</t>
        </is>
      </c>
      <c r="E7" s="8" t="n">
        <v>7000</v>
      </c>
      <c r="F7" s="7" t="inlineStr">
        <is>
          <t>Unique</t>
        </is>
      </c>
    </row>
    <row r="8">
      <c r="A8" s="7" t="inlineStr">
        <is>
          <t>DEX</t>
        </is>
      </c>
      <c r="B8" s="7" t="inlineStr">
        <is>
          <t>Exposé palier 2 (5 à 9 pages ou images)</t>
        </is>
      </c>
      <c r="C8" s="7" t="inlineStr">
        <is>
          <t>Mode 1</t>
        </is>
      </c>
      <c r="D8" s="7" t="inlineStr">
        <is>
          <t>Exposé palier 2 (5 à 9 pages ou images) · Mode 1</t>
        </is>
      </c>
      <c r="E8" s="8" t="n">
        <v>4000</v>
      </c>
      <c r="F8" s="7" t="inlineStr">
        <is>
          <t>Unique</t>
        </is>
      </c>
    </row>
    <row r="9">
      <c r="A9" s="7" t="inlineStr">
        <is>
          <t>DEX</t>
        </is>
      </c>
      <c r="B9" s="7" t="inlineStr">
        <is>
          <t>Exposé palier 2 (5 à 9 pages ou images)</t>
        </is>
      </c>
      <c r="C9" s="7" t="inlineStr">
        <is>
          <t>Mode 2</t>
        </is>
      </c>
      <c r="D9" s="7" t="inlineStr">
        <is>
          <t>Exposé palier 2 (5 à 9 pages ou images) · Mode 2</t>
        </is>
      </c>
      <c r="E9" s="8" t="n">
        <v>5500</v>
      </c>
      <c r="F9" s="7" t="inlineStr">
        <is>
          <t>Unique</t>
        </is>
      </c>
    </row>
    <row r="10">
      <c r="A10" s="7" t="inlineStr">
        <is>
          <t>DEX</t>
        </is>
      </c>
      <c r="B10" s="7" t="inlineStr">
        <is>
          <t>Exposé palier 2 (5 à 9 pages ou images)</t>
        </is>
      </c>
      <c r="C10" s="7" t="inlineStr">
        <is>
          <t>Mode 3</t>
        </is>
      </c>
      <c r="D10" s="7" t="inlineStr">
        <is>
          <t>Exposé palier 2 (5 à 9 pages ou images) · Mode 3</t>
        </is>
      </c>
      <c r="E10" s="8" t="n">
        <v>8500</v>
      </c>
      <c r="F10" s="7" t="inlineStr">
        <is>
          <t>Unique</t>
        </is>
      </c>
    </row>
    <row r="11">
      <c r="A11" s="7" t="inlineStr">
        <is>
          <t>DEX</t>
        </is>
      </c>
      <c r="B11" s="7" t="inlineStr">
        <is>
          <t>Exposé palier 3 (10 pages ou plus)</t>
        </is>
      </c>
      <c r="C11" s="7" t="inlineStr">
        <is>
          <t>Mode 1</t>
        </is>
      </c>
      <c r="D11" s="7" t="inlineStr">
        <is>
          <t>Exposé palier 3 (10 pages ou plus) · Mode 1</t>
        </is>
      </c>
      <c r="E11" s="8" t="n">
        <v>5500</v>
      </c>
      <c r="F11" s="7" t="inlineStr">
        <is>
          <t>Unique</t>
        </is>
      </c>
    </row>
    <row r="12">
      <c r="A12" s="7" t="inlineStr">
        <is>
          <t>DEX</t>
        </is>
      </c>
      <c r="B12" s="7" t="inlineStr">
        <is>
          <t>Exposé palier 3 (10 pages ou plus)</t>
        </is>
      </c>
      <c r="C12" s="7" t="inlineStr">
        <is>
          <t>Mode 2</t>
        </is>
      </c>
      <c r="D12" s="7" t="inlineStr">
        <is>
          <t>Exposé palier 3 (10 pages ou plus) · Mode 2</t>
        </is>
      </c>
      <c r="E12" s="8" t="n">
        <v>7000</v>
      </c>
      <c r="F12" s="7" t="inlineStr">
        <is>
          <t>Unique</t>
        </is>
      </c>
    </row>
    <row r="13">
      <c r="A13" s="7" t="inlineStr">
        <is>
          <t>DEX</t>
        </is>
      </c>
      <c r="B13" s="7" t="inlineStr">
        <is>
          <t>Exposé palier 3 (10 pages ou plus)</t>
        </is>
      </c>
      <c r="C13" s="7" t="inlineStr">
        <is>
          <t>Mode 3</t>
        </is>
      </c>
      <c r="D13" s="7" t="inlineStr">
        <is>
          <t>Exposé palier 3 (10 pages ou plus) · Mode 3</t>
        </is>
      </c>
      <c r="E13" s="8" t="n">
        <v>10000</v>
      </c>
      <c r="F13" s="7" t="inlineStr">
        <is>
          <t>Unique</t>
        </is>
      </c>
    </row>
    <row r="14">
      <c r="A14" s="7" t="inlineStr">
        <is>
          <t>DEX</t>
        </is>
      </c>
      <c r="B14" s="7" t="inlineStr">
        <is>
          <t>Exposé palier 4 (tableaux, 10 à 14 pages)</t>
        </is>
      </c>
      <c r="C14" s="7" t="inlineStr">
        <is>
          <t>Mode 1</t>
        </is>
      </c>
      <c r="D14" s="7" t="inlineStr">
        <is>
          <t>Exposé palier 4 (tableaux, 10 à 14 pages) · Mode 1</t>
        </is>
      </c>
      <c r="E14" s="8" t="n">
        <v>7000</v>
      </c>
      <c r="F14" s="7" t="inlineStr">
        <is>
          <t>Unique</t>
        </is>
      </c>
    </row>
    <row r="15">
      <c r="A15" s="7" t="inlineStr">
        <is>
          <t>DEX</t>
        </is>
      </c>
      <c r="B15" s="7" t="inlineStr">
        <is>
          <t>Exposé palier 4 (tableaux, 10 à 14 pages)</t>
        </is>
      </c>
      <c r="C15" s="7" t="inlineStr">
        <is>
          <t>Mode 2</t>
        </is>
      </c>
      <c r="D15" s="7" t="inlineStr">
        <is>
          <t>Exposé palier 4 (tableaux, 10 à 14 pages) · Mode 2</t>
        </is>
      </c>
      <c r="E15" s="8" t="n">
        <v>8500</v>
      </c>
      <c r="F15" s="7" t="inlineStr">
        <is>
          <t>Unique</t>
        </is>
      </c>
    </row>
    <row r="16">
      <c r="A16" s="7" t="inlineStr">
        <is>
          <t>DEX</t>
        </is>
      </c>
      <c r="B16" s="7" t="inlineStr">
        <is>
          <t>Exposé palier 4 (tableaux, 10 à 14 pages)</t>
        </is>
      </c>
      <c r="C16" s="7" t="inlineStr">
        <is>
          <t>Mode 3</t>
        </is>
      </c>
      <c r="D16" s="7" t="inlineStr">
        <is>
          <t>Exposé palier 4 (tableaux, 10 à 14 pages) · Mode 3</t>
        </is>
      </c>
      <c r="E16" s="8" t="n">
        <v>11500</v>
      </c>
      <c r="F16" s="7" t="inlineStr">
        <is>
          <t>Unique</t>
        </is>
      </c>
    </row>
    <row r="17">
      <c r="A17" s="7" t="inlineStr">
        <is>
          <t>DEX</t>
        </is>
      </c>
      <c r="B17" s="7" t="inlineStr">
        <is>
          <t>Exposé palier 5 (tableaux, 15 pages ou plus)</t>
        </is>
      </c>
      <c r="C17" s="7" t="inlineStr">
        <is>
          <t>Mode 1</t>
        </is>
      </c>
      <c r="D17" s="7" t="inlineStr">
        <is>
          <t>Exposé palier 5 (tableaux, 15 pages ou plus) · Mode 1</t>
        </is>
      </c>
      <c r="E17" s="8" t="n">
        <v>8500</v>
      </c>
      <c r="F17" s="7" t="inlineStr">
        <is>
          <t>Unique</t>
        </is>
      </c>
    </row>
    <row r="18">
      <c r="A18" s="7" t="inlineStr">
        <is>
          <t>DEX</t>
        </is>
      </c>
      <c r="B18" s="7" t="inlineStr">
        <is>
          <t>Exposé palier 5 (tableaux, 15 pages ou plus)</t>
        </is>
      </c>
      <c r="C18" s="7" t="inlineStr">
        <is>
          <t>Mode 2</t>
        </is>
      </c>
      <c r="D18" s="7" t="inlineStr">
        <is>
          <t>Exposé palier 5 (tableaux, 15 pages ou plus) · Mode 2</t>
        </is>
      </c>
      <c r="E18" s="8" t="n">
        <v>10000</v>
      </c>
      <c r="F18" s="7" t="inlineStr">
        <is>
          <t>Unique</t>
        </is>
      </c>
    </row>
    <row r="19">
      <c r="A19" s="7" t="inlineStr">
        <is>
          <t>DEX</t>
        </is>
      </c>
      <c r="B19" s="7" t="inlineStr">
        <is>
          <t>Exposé palier 5 (tableaux, 15 pages ou plus)</t>
        </is>
      </c>
      <c r="C19" s="7" t="inlineStr">
        <is>
          <t>Mode 3</t>
        </is>
      </c>
      <c r="D19" s="7" t="inlineStr">
        <is>
          <t>Exposé palier 5 (tableaux, 15 pages ou plus) · Mode 3</t>
        </is>
      </c>
      <c r="E19" s="8" t="n">
        <v>13000</v>
      </c>
      <c r="F19" s="7" t="inlineStr">
        <is>
          <t>Unique</t>
        </is>
      </c>
    </row>
    <row r="20">
      <c r="A20" s="7" t="inlineStr">
        <is>
          <t>DEX</t>
        </is>
      </c>
      <c r="B20" s="7" t="inlineStr">
        <is>
          <t>CV + lettre de motivation</t>
        </is>
      </c>
      <c r="C20" s="7" t="inlineStr">
        <is>
          <t>Mode 1</t>
        </is>
      </c>
      <c r="D20" s="7" t="inlineStr">
        <is>
          <t>CV + lettre de motivation · Mode 1</t>
        </is>
      </c>
      <c r="E20" s="8" t="n">
        <v>1500</v>
      </c>
      <c r="F20" s="7" t="inlineStr">
        <is>
          <t>Unique</t>
        </is>
      </c>
    </row>
    <row r="21">
      <c r="A21" s="7" t="inlineStr">
        <is>
          <t>DEX</t>
        </is>
      </c>
      <c r="B21" s="7" t="inlineStr">
        <is>
          <t>CV + lettre de motivation</t>
        </is>
      </c>
      <c r="C21" s="7" t="inlineStr">
        <is>
          <t>Mode 2</t>
        </is>
      </c>
      <c r="D21" s="7" t="inlineStr">
        <is>
          <t>CV + lettre de motivation · Mode 2</t>
        </is>
      </c>
      <c r="E21" s="8" t="n">
        <v>3000</v>
      </c>
      <c r="F21" s="7" t="inlineStr">
        <is>
          <t>Unique</t>
        </is>
      </c>
    </row>
    <row r="22">
      <c r="A22" s="7" t="inlineStr">
        <is>
          <t>DEX</t>
        </is>
      </c>
      <c r="B22" s="7" t="inlineStr">
        <is>
          <t>CV + lettre de motivation</t>
        </is>
      </c>
      <c r="C22" s="7" t="inlineStr">
        <is>
          <t>Mode 3</t>
        </is>
      </c>
      <c r="D22" s="7" t="inlineStr">
        <is>
          <t>CV + lettre de motivation · Mode 3</t>
        </is>
      </c>
      <c r="E22" s="8" t="n">
        <v>4500</v>
      </c>
      <c r="F22" s="7" t="inlineStr">
        <is>
          <t>Unique</t>
        </is>
      </c>
    </row>
    <row r="23">
      <c r="A23" s="7" t="inlineStr">
        <is>
          <t>DEX</t>
        </is>
      </c>
      <c r="B23" s="7" t="inlineStr">
        <is>
          <t>Rapport de stage</t>
        </is>
      </c>
      <c r="C23" s="7" t="inlineStr">
        <is>
          <t>Mode 1</t>
        </is>
      </c>
      <c r="D23" s="7" t="inlineStr">
        <is>
          <t>Rapport de stage · Mode 1</t>
        </is>
      </c>
      <c r="E23" s="8" t="n">
        <v>7500</v>
      </c>
      <c r="F23" s="7" t="inlineStr">
        <is>
          <t>Unique</t>
        </is>
      </c>
    </row>
    <row r="24">
      <c r="A24" s="7" t="inlineStr">
        <is>
          <t>DEX</t>
        </is>
      </c>
      <c r="B24" s="7" t="inlineStr">
        <is>
          <t>Rapport de stage</t>
        </is>
      </c>
      <c r="C24" s="7" t="inlineStr">
        <is>
          <t>Mode 2</t>
        </is>
      </c>
      <c r="D24" s="7" t="inlineStr">
        <is>
          <t>Rapport de stage · Mode 2</t>
        </is>
      </c>
      <c r="E24" s="8" t="n">
        <v>10500</v>
      </c>
      <c r="F24" s="7" t="inlineStr">
        <is>
          <t>Unique</t>
        </is>
      </c>
    </row>
    <row r="25">
      <c r="A25" s="7" t="inlineStr">
        <is>
          <t>DEX</t>
        </is>
      </c>
      <c r="B25" s="7" t="inlineStr">
        <is>
          <t>Rapport de stage</t>
        </is>
      </c>
      <c r="C25" s="7" t="inlineStr">
        <is>
          <t>Mode 3</t>
        </is>
      </c>
      <c r="D25" s="7" t="inlineStr">
        <is>
          <t>Rapport de stage · Mode 3</t>
        </is>
      </c>
      <c r="E25" s="8" t="n">
        <v>14500</v>
      </c>
      <c r="F25" s="7" t="inlineStr">
        <is>
          <t>Unique</t>
        </is>
      </c>
    </row>
    <row r="26">
      <c r="A26" s="7" t="inlineStr">
        <is>
          <t>DEX</t>
        </is>
      </c>
      <c r="B26" s="7" t="inlineStr">
        <is>
          <t>Mémoire Bac+1 à Bac+3</t>
        </is>
      </c>
      <c r="C26" s="7" t="inlineStr">
        <is>
          <t>Mode 1</t>
        </is>
      </c>
      <c r="D26" s="7" t="inlineStr">
        <is>
          <t>Mémoire Bac+1 à Bac+3 · Mode 1</t>
        </is>
      </c>
      <c r="E26" s="8" t="n">
        <v>10500</v>
      </c>
      <c r="F26" s="7" t="inlineStr">
        <is>
          <t>Unique</t>
        </is>
      </c>
    </row>
    <row r="27">
      <c r="A27" s="7" t="inlineStr">
        <is>
          <t>DEX</t>
        </is>
      </c>
      <c r="B27" s="7" t="inlineStr">
        <is>
          <t>Mémoire Bac+1 à Bac+3</t>
        </is>
      </c>
      <c r="C27" s="7" t="inlineStr">
        <is>
          <t>Mode 2</t>
        </is>
      </c>
      <c r="D27" s="7" t="inlineStr">
        <is>
          <t>Mémoire Bac+1 à Bac+3 · Mode 2</t>
        </is>
      </c>
      <c r="E27" s="8" t="n">
        <v>13500</v>
      </c>
      <c r="F27" s="7" t="inlineStr">
        <is>
          <t>Unique</t>
        </is>
      </c>
    </row>
    <row r="28">
      <c r="A28" s="7" t="inlineStr">
        <is>
          <t>DEX</t>
        </is>
      </c>
      <c r="B28" s="7" t="inlineStr">
        <is>
          <t>Mémoire Bac+1 à Bac+3</t>
        </is>
      </c>
      <c r="C28" s="7" t="inlineStr">
        <is>
          <t>Mode 3</t>
        </is>
      </c>
      <c r="D28" s="7" t="inlineStr">
        <is>
          <t>Mémoire Bac+1 à Bac+3 · Mode 3</t>
        </is>
      </c>
      <c r="E28" s="8" t="n">
        <v>18500</v>
      </c>
      <c r="F28" s="7" t="inlineStr">
        <is>
          <t>Unique</t>
        </is>
      </c>
    </row>
    <row r="29">
      <c r="A29" s="7" t="inlineStr">
        <is>
          <t>DEX</t>
        </is>
      </c>
      <c r="B29" s="7" t="inlineStr">
        <is>
          <t>Document professionnel</t>
        </is>
      </c>
      <c r="C29" s="7" t="inlineStr">
        <is>
          <t>Mode 1</t>
        </is>
      </c>
      <c r="D29" s="7" t="inlineStr">
        <is>
          <t>Document professionnel · Mode 1</t>
        </is>
      </c>
      <c r="E29" s="8" t="n">
        <v>10500</v>
      </c>
      <c r="F29" s="7" t="inlineStr">
        <is>
          <t>Unique</t>
        </is>
      </c>
    </row>
    <row r="30">
      <c r="A30" s="7" t="inlineStr">
        <is>
          <t>DEX</t>
        </is>
      </c>
      <c r="B30" s="7" t="inlineStr">
        <is>
          <t>Document professionnel</t>
        </is>
      </c>
      <c r="C30" s="7" t="inlineStr">
        <is>
          <t>Mode 2</t>
        </is>
      </c>
      <c r="D30" s="7" t="inlineStr">
        <is>
          <t>Document professionnel · Mode 2</t>
        </is>
      </c>
      <c r="E30" s="8" t="n">
        <v>15500</v>
      </c>
      <c r="F30" s="7" t="inlineStr">
        <is>
          <t>Unique</t>
        </is>
      </c>
    </row>
    <row r="31">
      <c r="A31" s="7" t="inlineStr">
        <is>
          <t>DEX</t>
        </is>
      </c>
      <c r="B31" s="7" t="inlineStr">
        <is>
          <t>Document professionnel</t>
        </is>
      </c>
      <c r="C31" s="7" t="inlineStr">
        <is>
          <t>Mode 3</t>
        </is>
      </c>
      <c r="D31" s="7" t="inlineStr">
        <is>
          <t>Document professionnel · Mode 3</t>
        </is>
      </c>
      <c r="E31" s="8" t="n">
        <v>19500</v>
      </c>
      <c r="F31" s="7" t="inlineStr">
        <is>
          <t>Unique</t>
        </is>
      </c>
    </row>
    <row r="32">
      <c r="A32" s="7" t="inlineStr">
        <is>
          <t>DEX</t>
        </is>
      </c>
      <c r="B32" s="7" t="inlineStr">
        <is>
          <t>Master et thèse</t>
        </is>
      </c>
      <c r="C32" s="7" t="inlineStr">
        <is>
          <t>Mode 1</t>
        </is>
      </c>
      <c r="D32" s="7" t="inlineStr">
        <is>
          <t>Master et thèse · Mode 1</t>
        </is>
      </c>
      <c r="E32" s="8" t="n">
        <v>15500</v>
      </c>
      <c r="F32" s="7" t="inlineStr">
        <is>
          <t>Unique</t>
        </is>
      </c>
    </row>
    <row r="33">
      <c r="A33" s="7" t="inlineStr">
        <is>
          <t>DEX</t>
        </is>
      </c>
      <c r="B33" s="7" t="inlineStr">
        <is>
          <t>Master et thèse</t>
        </is>
      </c>
      <c r="C33" s="7" t="inlineStr">
        <is>
          <t>Mode 2</t>
        </is>
      </c>
      <c r="D33" s="7" t="inlineStr">
        <is>
          <t>Master et thèse · Mode 2</t>
        </is>
      </c>
      <c r="E33" s="8" t="n">
        <v>18500</v>
      </c>
      <c r="F33" s="7" t="inlineStr">
        <is>
          <t>Unique</t>
        </is>
      </c>
    </row>
    <row r="34">
      <c r="A34" s="7" t="inlineStr">
        <is>
          <t>DEX</t>
        </is>
      </c>
      <c r="B34" s="7" t="inlineStr">
        <is>
          <t>Master et thèse</t>
        </is>
      </c>
      <c r="C34" s="7" t="inlineStr">
        <is>
          <t>Mode 3</t>
        </is>
      </c>
      <c r="D34" s="7" t="inlineStr">
        <is>
          <t>Master et thèse · Mode 3</t>
        </is>
      </c>
      <c r="E34" s="8" t="n">
        <v>25000</v>
      </c>
      <c r="F34" s="7" t="inlineStr">
        <is>
          <t>Unique</t>
        </is>
      </c>
    </row>
    <row r="35">
      <c r="A35" s="7" t="inlineStr">
        <is>
          <t>DEX</t>
        </is>
      </c>
      <c r="B35" s="7" t="inlineStr">
        <is>
          <t>Impression page couleur</t>
        </is>
      </c>
      <c r="C35" s="7" t="inlineStr">
        <is>
          <t>Par page</t>
        </is>
      </c>
      <c r="D35" s="7" t="inlineStr">
        <is>
          <t>Impression page couleur</t>
        </is>
      </c>
      <c r="E35" s="8" t="n">
        <v>500</v>
      </c>
      <c r="F35" s="7" t="inlineStr">
        <is>
          <t>Unique</t>
        </is>
      </c>
    </row>
    <row r="36">
      <c r="A36" s="7" t="inlineStr">
        <is>
          <t>DEX</t>
        </is>
      </c>
      <c r="B36" s="7" t="inlineStr">
        <is>
          <t>Impression page noir et blanc</t>
        </is>
      </c>
      <c r="C36" s="7" t="inlineStr">
        <is>
          <t>Par page</t>
        </is>
      </c>
      <c r="D36" s="7" t="inlineStr">
        <is>
          <t>Impression page noir et blanc</t>
        </is>
      </c>
      <c r="E36" s="8" t="n">
        <v>200</v>
      </c>
      <c r="F36" s="7" t="inlineStr">
        <is>
          <t>Unique</t>
        </is>
      </c>
    </row>
    <row r="38">
      <c r="A38" s="7" t="inlineStr">
        <is>
          <t>Visuo</t>
        </is>
      </c>
      <c r="B38" s="7" t="inlineStr">
        <is>
          <t>Logo</t>
        </is>
      </c>
      <c r="C38" s="7" t="inlineStr">
        <is>
          <t>Basique</t>
        </is>
      </c>
      <c r="D38" s="7" t="inlineStr">
        <is>
          <t>Logo · Basique</t>
        </is>
      </c>
      <c r="E38" s="8" t="n">
        <v>6500</v>
      </c>
      <c r="F38" s="7" t="inlineStr">
        <is>
          <t>Unique</t>
        </is>
      </c>
    </row>
    <row r="39">
      <c r="A39" s="7" t="inlineStr">
        <is>
          <t>Visuo</t>
        </is>
      </c>
      <c r="B39" s="7" t="inlineStr">
        <is>
          <t>Logo</t>
        </is>
      </c>
      <c r="C39" s="7" t="inlineStr">
        <is>
          <t>Standard</t>
        </is>
      </c>
      <c r="D39" s="7" t="inlineStr">
        <is>
          <t>Logo · Standard</t>
        </is>
      </c>
      <c r="E39" s="8" t="n">
        <v>10000</v>
      </c>
      <c r="F39" s="7" t="inlineStr">
        <is>
          <t>Unique</t>
        </is>
      </c>
    </row>
    <row r="40">
      <c r="A40" s="7" t="inlineStr">
        <is>
          <t>Visuo</t>
        </is>
      </c>
      <c r="B40" s="7" t="inlineStr">
        <is>
          <t>Logo</t>
        </is>
      </c>
      <c r="C40" s="7" t="inlineStr">
        <is>
          <t>Premium</t>
        </is>
      </c>
      <c r="D40" s="7" t="inlineStr">
        <is>
          <t>Logo · Premium</t>
        </is>
      </c>
      <c r="E40" s="8" t="n">
        <v>15000</v>
      </c>
      <c r="F40" s="7" t="inlineStr">
        <is>
          <t>Unique</t>
        </is>
      </c>
    </row>
    <row r="41">
      <c r="A41" s="7" t="inlineStr">
        <is>
          <t>Visuo</t>
        </is>
      </c>
      <c r="B41" s="7" t="inlineStr">
        <is>
          <t>Affiche ou flyer</t>
        </is>
      </c>
      <c r="C41" s="7" t="inlineStr">
        <is>
          <t>Basique</t>
        </is>
      </c>
      <c r="D41" s="7" t="inlineStr">
        <is>
          <t>Affiche ou flyer · Basique</t>
        </is>
      </c>
      <c r="E41" s="8" t="n">
        <v>2500</v>
      </c>
      <c r="F41" s="7" t="inlineStr">
        <is>
          <t>Unique</t>
        </is>
      </c>
    </row>
    <row r="42">
      <c r="A42" s="7" t="inlineStr">
        <is>
          <t>Visuo</t>
        </is>
      </c>
      <c r="B42" s="7" t="inlineStr">
        <is>
          <t>Affiche ou flyer</t>
        </is>
      </c>
      <c r="C42" s="7" t="inlineStr">
        <is>
          <t>Standard</t>
        </is>
      </c>
      <c r="D42" s="7" t="inlineStr">
        <is>
          <t>Affiche ou flyer · Standard</t>
        </is>
      </c>
      <c r="E42" s="8" t="n">
        <v>4000</v>
      </c>
      <c r="F42" s="7" t="inlineStr">
        <is>
          <t>Unique</t>
        </is>
      </c>
    </row>
    <row r="43">
      <c r="A43" s="7" t="inlineStr">
        <is>
          <t>Visuo</t>
        </is>
      </c>
      <c r="B43" s="7" t="inlineStr">
        <is>
          <t>Affiche ou flyer</t>
        </is>
      </c>
      <c r="C43" s="7" t="inlineStr">
        <is>
          <t>Premium</t>
        </is>
      </c>
      <c r="D43" s="7" t="inlineStr">
        <is>
          <t>Affiche ou flyer · Premium</t>
        </is>
      </c>
      <c r="E43" s="8" t="n">
        <v>6000</v>
      </c>
      <c r="F43" s="7" t="inlineStr">
        <is>
          <t>Unique</t>
        </is>
      </c>
    </row>
    <row r="44">
      <c r="A44" s="7" t="inlineStr">
        <is>
          <t>Visuo</t>
        </is>
      </c>
      <c r="B44" s="7" t="inlineStr">
        <is>
          <t>Carte d'invitation</t>
        </is>
      </c>
      <c r="C44" s="7" t="inlineStr">
        <is>
          <t>Basique</t>
        </is>
      </c>
      <c r="D44" s="7" t="inlineStr">
        <is>
          <t>Carte d'invitation · Basique</t>
        </is>
      </c>
      <c r="E44" s="8" t="n">
        <v>2000</v>
      </c>
      <c r="F44" s="7" t="inlineStr">
        <is>
          <t>Unique</t>
        </is>
      </c>
    </row>
    <row r="45">
      <c r="A45" s="7" t="inlineStr">
        <is>
          <t>Visuo</t>
        </is>
      </c>
      <c r="B45" s="7" t="inlineStr">
        <is>
          <t>Carte d'invitation</t>
        </is>
      </c>
      <c r="C45" s="7" t="inlineStr">
        <is>
          <t>Standard</t>
        </is>
      </c>
      <c r="D45" s="7" t="inlineStr">
        <is>
          <t>Carte d'invitation · Standard</t>
        </is>
      </c>
      <c r="E45" s="8" t="n">
        <v>3000</v>
      </c>
      <c r="F45" s="7" t="inlineStr">
        <is>
          <t>Unique</t>
        </is>
      </c>
    </row>
    <row r="46">
      <c r="A46" s="7" t="inlineStr">
        <is>
          <t>Visuo</t>
        </is>
      </c>
      <c r="B46" s="7" t="inlineStr">
        <is>
          <t>Carte d'invitation</t>
        </is>
      </c>
      <c r="C46" s="7" t="inlineStr">
        <is>
          <t>Premium</t>
        </is>
      </c>
      <c r="D46" s="7" t="inlineStr">
        <is>
          <t>Carte d'invitation · Premium</t>
        </is>
      </c>
      <c r="E46" s="8" t="n">
        <v>5000</v>
      </c>
      <c r="F46" s="7" t="inlineStr">
        <is>
          <t>Unique</t>
        </is>
      </c>
    </row>
    <row r="47">
      <c r="A47" s="7" t="inlineStr">
        <is>
          <t>Visuo</t>
        </is>
      </c>
      <c r="B47" s="7" t="inlineStr">
        <is>
          <t>Carte de visite</t>
        </is>
      </c>
      <c r="C47" s="7" t="inlineStr">
        <is>
          <t>Basique</t>
        </is>
      </c>
      <c r="D47" s="7" t="inlineStr">
        <is>
          <t>Carte de visite · Basique</t>
        </is>
      </c>
      <c r="E47" s="8" t="n">
        <v>2000</v>
      </c>
      <c r="F47" s="7" t="inlineStr">
        <is>
          <t>Unique</t>
        </is>
      </c>
    </row>
    <row r="48">
      <c r="A48" s="7" t="inlineStr">
        <is>
          <t>Visuo</t>
        </is>
      </c>
      <c r="B48" s="7" t="inlineStr">
        <is>
          <t>Carte de visite</t>
        </is>
      </c>
      <c r="C48" s="7" t="inlineStr">
        <is>
          <t>Standard</t>
        </is>
      </c>
      <c r="D48" s="7" t="inlineStr">
        <is>
          <t>Carte de visite · Standard</t>
        </is>
      </c>
      <c r="E48" s="8" t="n">
        <v>3000</v>
      </c>
      <c r="F48" s="7" t="inlineStr">
        <is>
          <t>Unique</t>
        </is>
      </c>
    </row>
    <row r="49">
      <c r="A49" s="7" t="inlineStr">
        <is>
          <t>Visuo</t>
        </is>
      </c>
      <c r="B49" s="7" t="inlineStr">
        <is>
          <t>Carte de visite</t>
        </is>
      </c>
      <c r="C49" s="7" t="inlineStr">
        <is>
          <t>Premium</t>
        </is>
      </c>
      <c r="D49" s="7" t="inlineStr">
        <is>
          <t>Carte de visite · Premium</t>
        </is>
      </c>
      <c r="E49" s="8" t="n">
        <v>5000</v>
      </c>
      <c r="F49" s="7" t="inlineStr">
        <is>
          <t>Unique</t>
        </is>
      </c>
    </row>
    <row r="50">
      <c r="A50" s="7" t="inlineStr">
        <is>
          <t>Visuo</t>
        </is>
      </c>
      <c r="B50" s="7" t="inlineStr">
        <is>
          <t>Vidéo publicitaire (à partir de 15 s, prix de départ)</t>
        </is>
      </c>
      <c r="C50" s="7" t="inlineStr">
        <is>
          <t>Basique</t>
        </is>
      </c>
      <c r="D50" s="7" t="inlineStr">
        <is>
          <t>Vidéo publicitaire (à partir de 15 s, prix de départ) · Basique</t>
        </is>
      </c>
      <c r="E50" s="8" t="n">
        <v>7500</v>
      </c>
      <c r="F50" s="7" t="inlineStr">
        <is>
          <t>Unique</t>
        </is>
      </c>
    </row>
    <row r="51">
      <c r="A51" s="7" t="inlineStr">
        <is>
          <t>Visuo</t>
        </is>
      </c>
      <c r="B51" s="7" t="inlineStr">
        <is>
          <t>Vidéo publicitaire (à partir de 15 s, prix de départ)</t>
        </is>
      </c>
      <c r="C51" s="7" t="inlineStr">
        <is>
          <t>Standard</t>
        </is>
      </c>
      <c r="D51" s="7" t="inlineStr">
        <is>
          <t>Vidéo publicitaire (à partir de 15 s, prix de départ) · Standard</t>
        </is>
      </c>
      <c r="E51" s="8" t="n">
        <v>9500</v>
      </c>
      <c r="F51" s="7" t="inlineStr">
        <is>
          <t>Unique</t>
        </is>
      </c>
    </row>
    <row r="52">
      <c r="A52" s="7" t="inlineStr">
        <is>
          <t>Visuo</t>
        </is>
      </c>
      <c r="B52" s="7" t="inlineStr">
        <is>
          <t>Vidéo publicitaire (à partir de 15 s, prix de départ)</t>
        </is>
      </c>
      <c r="C52" s="7" t="inlineStr">
        <is>
          <t>Premium</t>
        </is>
      </c>
      <c r="D52" s="7" t="inlineStr">
        <is>
          <t>Vidéo publicitaire (à partir de 15 s, prix de départ) · Premium</t>
        </is>
      </c>
      <c r="E52" s="8" t="n">
        <v>15000</v>
      </c>
      <c r="F52" s="7" t="inlineStr">
        <is>
          <t>Unique</t>
        </is>
      </c>
    </row>
    <row r="53">
      <c r="A53" s="7" t="inlineStr">
        <is>
          <t>Visuo</t>
        </is>
      </c>
      <c r="B53" s="7" t="inlineStr">
        <is>
          <t>Site vitrine</t>
        </is>
      </c>
      <c r="C53" s="7" t="inlineStr">
        <is>
          <t>Basique</t>
        </is>
      </c>
      <c r="D53" s="7" t="inlineStr">
        <is>
          <t>Site vitrine · Basique</t>
        </is>
      </c>
      <c r="E53" s="8" t="n">
        <v>12500</v>
      </c>
      <c r="F53" s="7" t="inlineStr">
        <is>
          <t>Unique</t>
        </is>
      </c>
    </row>
    <row r="54">
      <c r="A54" s="7" t="inlineStr">
        <is>
          <t>Visuo</t>
        </is>
      </c>
      <c r="B54" s="7" t="inlineStr">
        <is>
          <t>Site vitrine</t>
        </is>
      </c>
      <c r="C54" s="7" t="inlineStr">
        <is>
          <t>Standard</t>
        </is>
      </c>
      <c r="D54" s="7" t="inlineStr">
        <is>
          <t>Site vitrine · Standard</t>
        </is>
      </c>
      <c r="E54" s="8" t="n">
        <v>25000</v>
      </c>
      <c r="F54" s="7" t="inlineStr">
        <is>
          <t>Unique</t>
        </is>
      </c>
    </row>
    <row r="55">
      <c r="A55" s="7" t="inlineStr">
        <is>
          <t>Visuo</t>
        </is>
      </c>
      <c r="B55" s="7" t="inlineStr">
        <is>
          <t>Site vitrine</t>
        </is>
      </c>
      <c r="C55" s="7" t="inlineStr">
        <is>
          <t>Premium</t>
        </is>
      </c>
      <c r="D55" s="7" t="inlineStr">
        <is>
          <t>Site vitrine · Premium</t>
        </is>
      </c>
      <c r="E55" s="8" t="n">
        <v>45000</v>
      </c>
      <c r="F55" s="7" t="inlineStr">
        <is>
          <t>Unique</t>
        </is>
      </c>
    </row>
    <row r="56">
      <c r="A56" s="7" t="inlineStr">
        <is>
          <t>Visuo</t>
        </is>
      </c>
      <c r="B56" s="7" t="inlineStr">
        <is>
          <t>Maintenance du site</t>
        </is>
      </c>
      <c r="C56" s="7" t="inlineStr">
        <is>
          <t>Basique</t>
        </is>
      </c>
      <c r="D56" s="7" t="inlineStr">
        <is>
          <t>Maintenance du site · Basique</t>
        </is>
      </c>
      <c r="E56" s="8" t="n">
        <v>2500</v>
      </c>
      <c r="F56" s="7" t="inlineStr">
        <is>
          <t>Mensuel</t>
        </is>
      </c>
    </row>
    <row r="57">
      <c r="A57" s="7" t="inlineStr">
        <is>
          <t>Visuo</t>
        </is>
      </c>
      <c r="B57" s="7" t="inlineStr">
        <is>
          <t>Maintenance du site</t>
        </is>
      </c>
      <c r="C57" s="7" t="inlineStr">
        <is>
          <t>Standard</t>
        </is>
      </c>
      <c r="D57" s="7" t="inlineStr">
        <is>
          <t>Maintenance du site · Standard</t>
        </is>
      </c>
      <c r="E57" s="8" t="n">
        <v>5000</v>
      </c>
      <c r="F57" s="7" t="inlineStr">
        <is>
          <t>Mensuel</t>
        </is>
      </c>
    </row>
    <row r="58">
      <c r="A58" s="7" t="inlineStr">
        <is>
          <t>Visuo</t>
        </is>
      </c>
      <c r="B58" s="7" t="inlineStr">
        <is>
          <t>Maintenance du site</t>
        </is>
      </c>
      <c r="C58" s="7" t="inlineStr">
        <is>
          <t>Premium</t>
        </is>
      </c>
      <c r="D58" s="7" t="inlineStr">
        <is>
          <t>Maintenance du site · Premium</t>
        </is>
      </c>
      <c r="E58" s="8" t="n">
        <v>10000</v>
      </c>
      <c r="F58" s="7" t="inlineStr">
        <is>
          <t>Mensuel</t>
        </is>
      </c>
    </row>
    <row r="59">
      <c r="A59" s="7" t="inlineStr">
        <is>
          <t>Visuo</t>
        </is>
      </c>
      <c r="B59" s="7" t="inlineStr">
        <is>
          <t>Gestion de la page Facebook</t>
        </is>
      </c>
      <c r="C59" s="7" t="inlineStr">
        <is>
          <t>Basique</t>
        </is>
      </c>
      <c r="D59" s="7" t="inlineStr">
        <is>
          <t>Gestion de la page Facebook · Basique</t>
        </is>
      </c>
      <c r="E59" s="8" t="n">
        <v>7000</v>
      </c>
      <c r="F59" s="7" t="inlineStr">
        <is>
          <t>Mensuel</t>
        </is>
      </c>
    </row>
    <row r="60">
      <c r="A60" s="7" t="inlineStr">
        <is>
          <t>Visuo</t>
        </is>
      </c>
      <c r="B60" s="7" t="inlineStr">
        <is>
          <t>Gestion de la page Facebook</t>
        </is>
      </c>
      <c r="C60" s="7" t="inlineStr">
        <is>
          <t>Standard</t>
        </is>
      </c>
      <c r="D60" s="7" t="inlineStr">
        <is>
          <t>Gestion de la page Facebook · Standard</t>
        </is>
      </c>
      <c r="E60" s="8" t="n">
        <v>12500</v>
      </c>
      <c r="F60" s="7" t="inlineStr">
        <is>
          <t>Mensuel</t>
        </is>
      </c>
    </row>
    <row r="61">
      <c r="A61" s="7" t="inlineStr">
        <is>
          <t>Visuo</t>
        </is>
      </c>
      <c r="B61" s="7" t="inlineStr">
        <is>
          <t>Gestion de la page Facebook</t>
        </is>
      </c>
      <c r="C61" s="7" t="inlineStr">
        <is>
          <t>Premium</t>
        </is>
      </c>
      <c r="D61" s="7" t="inlineStr">
        <is>
          <t>Gestion de la page Facebook · Premium</t>
        </is>
      </c>
      <c r="E61" s="8" t="n">
        <v>22000</v>
      </c>
      <c r="F61" s="7" t="inlineStr">
        <is>
          <t>Mensuel</t>
        </is>
      </c>
    </row>
    <row r="62">
      <c r="A62" s="7" t="inlineStr">
        <is>
          <t>Visuo</t>
        </is>
      </c>
      <c r="B62" s="7" t="inlineStr">
        <is>
          <t>Gestion du compte Instagram</t>
        </is>
      </c>
      <c r="C62" s="7" t="inlineStr">
        <is>
          <t>Basique</t>
        </is>
      </c>
      <c r="D62" s="7" t="inlineStr">
        <is>
          <t>Gestion du compte Instagram · Basique</t>
        </is>
      </c>
      <c r="E62" s="8" t="n">
        <v>8000</v>
      </c>
      <c r="F62" s="7" t="inlineStr">
        <is>
          <t>Mensuel</t>
        </is>
      </c>
    </row>
    <row r="63">
      <c r="A63" s="7" t="inlineStr">
        <is>
          <t>Visuo</t>
        </is>
      </c>
      <c r="B63" s="7" t="inlineStr">
        <is>
          <t>Gestion du compte Instagram</t>
        </is>
      </c>
      <c r="C63" s="7" t="inlineStr">
        <is>
          <t>Standard</t>
        </is>
      </c>
      <c r="D63" s="7" t="inlineStr">
        <is>
          <t>Gestion du compte Instagram · Standard</t>
        </is>
      </c>
      <c r="E63" s="8" t="n">
        <v>14000</v>
      </c>
      <c r="F63" s="7" t="inlineStr">
        <is>
          <t>Mensuel</t>
        </is>
      </c>
    </row>
    <row r="64">
      <c r="A64" s="7" t="inlineStr">
        <is>
          <t>Visuo</t>
        </is>
      </c>
      <c r="B64" s="7" t="inlineStr">
        <is>
          <t>Gestion du compte Instagram</t>
        </is>
      </c>
      <c r="C64" s="7" t="inlineStr">
        <is>
          <t>Premium</t>
        </is>
      </c>
      <c r="D64" s="7" t="inlineStr">
        <is>
          <t>Gestion du compte Instagram · Premium</t>
        </is>
      </c>
      <c r="E64" s="8" t="n">
        <v>24500</v>
      </c>
      <c r="F64" s="7" t="inlineStr">
        <is>
          <t>Mensuel</t>
        </is>
      </c>
    </row>
    <row r="65">
      <c r="A65" s="7" t="inlineStr">
        <is>
          <t>Visuo</t>
        </is>
      </c>
      <c r="B65" s="7" t="inlineStr">
        <is>
          <t>Gestion du compte WhatsApp Business</t>
        </is>
      </c>
      <c r="C65" s="7" t="inlineStr">
        <is>
          <t>Basique</t>
        </is>
      </c>
      <c r="D65" s="7" t="inlineStr">
        <is>
          <t>Gestion du compte WhatsApp Business · Basique</t>
        </is>
      </c>
      <c r="E65" s="8" t="n">
        <v>6500</v>
      </c>
      <c r="F65" s="7" t="inlineStr">
        <is>
          <t>Mensuel</t>
        </is>
      </c>
    </row>
    <row r="66">
      <c r="A66" s="7" t="inlineStr">
        <is>
          <t>Visuo</t>
        </is>
      </c>
      <c r="B66" s="7" t="inlineStr">
        <is>
          <t>Gestion du compte WhatsApp Business</t>
        </is>
      </c>
      <c r="C66" s="7" t="inlineStr">
        <is>
          <t>Standard</t>
        </is>
      </c>
      <c r="D66" s="7" t="inlineStr">
        <is>
          <t>Gestion du compte WhatsApp Business · Standard</t>
        </is>
      </c>
      <c r="E66" s="8" t="n">
        <v>11500</v>
      </c>
      <c r="F66" s="7" t="inlineStr">
        <is>
          <t>Mensuel</t>
        </is>
      </c>
    </row>
    <row r="67">
      <c r="A67" s="7" t="inlineStr">
        <is>
          <t>Visuo</t>
        </is>
      </c>
      <c r="B67" s="7" t="inlineStr">
        <is>
          <t>Gestion du compte WhatsApp Business</t>
        </is>
      </c>
      <c r="C67" s="7" t="inlineStr">
        <is>
          <t>Premium</t>
        </is>
      </c>
      <c r="D67" s="7" t="inlineStr">
        <is>
          <t>Gestion du compte WhatsApp Business · Premium</t>
        </is>
      </c>
      <c r="E67" s="8" t="n">
        <v>20500</v>
      </c>
      <c r="F67" s="7" t="inlineStr">
        <is>
          <t>Mensuel</t>
        </is>
      </c>
    </row>
    <row r="68">
      <c r="A68" s="7" t="inlineStr">
        <is>
          <t>Visuo</t>
        </is>
      </c>
      <c r="B68" s="7" t="inlineStr">
        <is>
          <t>Pack Starter (Facebook ; 1 affiche, 4 publications)</t>
        </is>
      </c>
      <c r="C68" s="7" t="inlineStr">
        <is>
          <t>Pack</t>
        </is>
      </c>
      <c r="D68" s="7" t="inlineStr">
        <is>
          <t>Pack Starter (Facebook ; 1 affiche, 4 publications)</t>
        </is>
      </c>
      <c r="E68" s="8" t="n">
        <v>6000</v>
      </c>
      <c r="F68" s="7" t="inlineStr">
        <is>
          <t>Mensuel</t>
        </is>
      </c>
    </row>
    <row r="69">
      <c r="A69" s="7" t="inlineStr">
        <is>
          <t>Visuo</t>
        </is>
      </c>
      <c r="B69" s="7" t="inlineStr">
        <is>
          <t>Pack Basique (Facebook + WhatsApp Business ; 2 affiches, 8 publications, 1 vidéo)</t>
        </is>
      </c>
      <c r="C69" s="7" t="inlineStr">
        <is>
          <t>Pack</t>
        </is>
      </c>
      <c r="D69" s="7" t="inlineStr">
        <is>
          <t>Pack Basique (Facebook + WhatsApp Business ; 2 affiches, 8 publications, 1 vidéo)</t>
        </is>
      </c>
      <c r="E69" s="8" t="n">
        <v>18000</v>
      </c>
      <c r="F69" s="7" t="inlineStr">
        <is>
          <t>Mensuel</t>
        </is>
      </c>
    </row>
    <row r="70">
      <c r="A70" s="7" t="inlineStr">
        <is>
          <t>Visuo</t>
        </is>
      </c>
      <c r="B70" s="7" t="inlineStr">
        <is>
          <t>Pack Standard (Facebook + Instagram + WhatsApp Business ; 4 affiches, 12 publications, 2 vidéos, maintenance du site)</t>
        </is>
      </c>
      <c r="C70" s="7" t="inlineStr">
        <is>
          <t>Pack</t>
        </is>
      </c>
      <c r="D70" s="7" t="inlineStr">
        <is>
          <t>Pack Standard (Facebook + Instagram + WhatsApp Business ; 4 affiches, 12 publications, 2 vidéos, maintenance du site)</t>
        </is>
      </c>
      <c r="E70" s="8" t="n">
        <v>50000</v>
      </c>
      <c r="F70" s="7" t="inlineStr">
        <is>
          <t>Mensuel</t>
        </is>
      </c>
    </row>
    <row r="71">
      <c r="A71" s="7" t="inlineStr">
        <is>
          <t>Visuo</t>
        </is>
      </c>
      <c r="B71" s="7" t="inlineStr">
        <is>
          <t>Pack Premium (Facebook + Instagram + WhatsApp Business ; 6 affiches, 20 publications, 4 vidéos, maintenance du site)</t>
        </is>
      </c>
      <c r="C71" s="7" t="inlineStr">
        <is>
          <t>Pack</t>
        </is>
      </c>
      <c r="D71" s="7" t="inlineStr">
        <is>
          <t>Pack Premium (Facebook + Instagram + WhatsApp Business ; 6 affiches, 20 publications, 4 vidéos, maintenance du site)</t>
        </is>
      </c>
      <c r="E71" s="8" t="n">
        <v>115000</v>
      </c>
      <c r="F71" s="7" t="inlineStr">
        <is>
          <t>Mensuel</t>
        </is>
      </c>
    </row>
    <row r="72">
      <c r="A72" s="7" t="inlineStr">
        <is>
          <t>Visuo</t>
        </is>
      </c>
      <c r="B72" s="7" t="inlineStr">
        <is>
          <t>Pack Vitrine (site vitrine Basique + 1er mois du Pack Basique, puis 18 000 / mois)</t>
        </is>
      </c>
      <c r="C72" s="7" t="inlineStr">
        <is>
          <t>Pack</t>
        </is>
      </c>
      <c r="D72" s="7" t="inlineStr">
        <is>
          <t>Pack Vitrine (site vitrine Basique + 1er mois du Pack Basique, puis 18 000 / mois)</t>
        </is>
      </c>
      <c r="E72" s="8" t="n">
        <v>28000</v>
      </c>
      <c r="F72" s="7" t="inlineStr">
        <is>
          <t>Unique</t>
        </is>
      </c>
    </row>
    <row r="74">
      <c r="A74" s="7" t="inlineStr">
        <is>
          <t>Logia</t>
        </is>
      </c>
      <c r="B74" s="7" t="inlineStr">
        <is>
          <t>Automatisation</t>
        </is>
      </c>
      <c r="C74" s="7" t="inlineStr">
        <is>
          <t>Basique</t>
        </is>
      </c>
      <c r="D74" s="7" t="inlineStr">
        <is>
          <t>Automatisation · Basique</t>
        </is>
      </c>
      <c r="E74" s="8" t="n">
        <v>7500</v>
      </c>
      <c r="F74" s="7" t="inlineStr">
        <is>
          <t>Unique</t>
        </is>
      </c>
    </row>
    <row r="75">
      <c r="A75" s="7" t="inlineStr">
        <is>
          <t>Logia</t>
        </is>
      </c>
      <c r="B75" s="7" t="inlineStr">
        <is>
          <t>Automatisation</t>
        </is>
      </c>
      <c r="C75" s="7" t="inlineStr">
        <is>
          <t>Standard</t>
        </is>
      </c>
      <c r="D75" s="7" t="inlineStr">
        <is>
          <t>Automatisation · Standard</t>
        </is>
      </c>
      <c r="E75" s="8" t="n">
        <v>15000</v>
      </c>
      <c r="F75" s="7" t="inlineStr">
        <is>
          <t>Unique</t>
        </is>
      </c>
    </row>
    <row r="76">
      <c r="A76" s="7" t="inlineStr">
        <is>
          <t>Logia</t>
        </is>
      </c>
      <c r="B76" s="7" t="inlineStr">
        <is>
          <t>Automatisation</t>
        </is>
      </c>
      <c r="C76" s="7" t="inlineStr">
        <is>
          <t>Premium</t>
        </is>
      </c>
      <c r="D76" s="7" t="inlineStr">
        <is>
          <t>Automatisation · Premium</t>
        </is>
      </c>
      <c r="E76" s="8" t="n">
        <v>30000</v>
      </c>
      <c r="F76" s="7" t="inlineStr">
        <is>
          <t>Unique</t>
        </is>
      </c>
    </row>
    <row r="77">
      <c r="A77" s="7" t="inlineStr">
        <is>
          <t>Logia</t>
        </is>
      </c>
      <c r="B77" s="7" t="inlineStr">
        <is>
          <t>Bot WhatsApp</t>
        </is>
      </c>
      <c r="C77" s="7" t="inlineStr">
        <is>
          <t>Basique</t>
        </is>
      </c>
      <c r="D77" s="7" t="inlineStr">
        <is>
          <t>Bot WhatsApp · Basique</t>
        </is>
      </c>
      <c r="E77" s="8" t="n">
        <v>15000</v>
      </c>
      <c r="F77" s="7" t="inlineStr">
        <is>
          <t>Unique</t>
        </is>
      </c>
    </row>
    <row r="78">
      <c r="A78" s="7" t="inlineStr">
        <is>
          <t>Logia</t>
        </is>
      </c>
      <c r="B78" s="7" t="inlineStr">
        <is>
          <t>Bot WhatsApp</t>
        </is>
      </c>
      <c r="C78" s="7" t="inlineStr">
        <is>
          <t>Standard</t>
        </is>
      </c>
      <c r="D78" s="7" t="inlineStr">
        <is>
          <t>Bot WhatsApp · Standard</t>
        </is>
      </c>
      <c r="E78" s="8" t="n">
        <v>30000</v>
      </c>
      <c r="F78" s="7" t="inlineStr">
        <is>
          <t>Unique</t>
        </is>
      </c>
    </row>
    <row r="79">
      <c r="A79" s="7" t="inlineStr">
        <is>
          <t>Logia</t>
        </is>
      </c>
      <c r="B79" s="7" t="inlineStr">
        <is>
          <t>Bot WhatsApp</t>
        </is>
      </c>
      <c r="C79" s="7" t="inlineStr">
        <is>
          <t>Premium</t>
        </is>
      </c>
      <c r="D79" s="7" t="inlineStr">
        <is>
          <t>Bot WhatsApp · Premium</t>
        </is>
      </c>
      <c r="E79" s="8" t="n">
        <v>60000</v>
      </c>
      <c r="F79" s="7" t="inlineStr">
        <is>
          <t>Unique</t>
        </is>
      </c>
    </row>
    <row r="80">
      <c r="A80" s="7" t="inlineStr">
        <is>
          <t>Logia</t>
        </is>
      </c>
      <c r="B80" s="7" t="inlineStr">
        <is>
          <t>Logiciel de gestion</t>
        </is>
      </c>
      <c r="C80" s="7" t="inlineStr">
        <is>
          <t>Basique</t>
        </is>
      </c>
      <c r="D80" s="7" t="inlineStr">
        <is>
          <t>Logiciel de gestion · Basique</t>
        </is>
      </c>
      <c r="E80" s="8" t="n">
        <v>45000</v>
      </c>
      <c r="F80" s="7" t="inlineStr">
        <is>
          <t>Unique</t>
        </is>
      </c>
    </row>
    <row r="81">
      <c r="A81" s="7" t="inlineStr">
        <is>
          <t>Logia</t>
        </is>
      </c>
      <c r="B81" s="7" t="inlineStr">
        <is>
          <t>Logiciel de gestion</t>
        </is>
      </c>
      <c r="C81" s="7" t="inlineStr">
        <is>
          <t>Standard</t>
        </is>
      </c>
      <c r="D81" s="7" t="inlineStr">
        <is>
          <t>Logiciel de gestion · Standard</t>
        </is>
      </c>
      <c r="E81" s="8" t="n">
        <v>90000</v>
      </c>
      <c r="F81" s="7" t="inlineStr">
        <is>
          <t>Unique</t>
        </is>
      </c>
    </row>
    <row r="82">
      <c r="A82" s="7" t="inlineStr">
        <is>
          <t>Logia</t>
        </is>
      </c>
      <c r="B82" s="7" t="inlineStr">
        <is>
          <t>Logiciel de gestion</t>
        </is>
      </c>
      <c r="C82" s="7" t="inlineStr">
        <is>
          <t>Premium</t>
        </is>
      </c>
      <c r="D82" s="7" t="inlineStr">
        <is>
          <t>Logiciel de gestion · Premium</t>
        </is>
      </c>
      <c r="E82" s="8" t="n">
        <v>180000</v>
      </c>
      <c r="F82" s="7" t="inlineStr">
        <is>
          <t>Unique</t>
        </is>
      </c>
    </row>
    <row r="83">
      <c r="A83" s="7" t="inlineStr">
        <is>
          <t>Logia</t>
        </is>
      </c>
      <c r="B83" s="7" t="inlineStr">
        <is>
          <t>Suivi</t>
        </is>
      </c>
      <c r="C83" s="7" t="inlineStr">
        <is>
          <t>Basique</t>
        </is>
      </c>
      <c r="D83" s="7" t="inlineStr">
        <is>
          <t>Suivi · Basique</t>
        </is>
      </c>
      <c r="E83" s="8" t="n">
        <v>5000</v>
      </c>
      <c r="F83" s="7" t="inlineStr">
        <is>
          <t>Mensuel</t>
        </is>
      </c>
    </row>
    <row r="84">
      <c r="A84" s="7" t="inlineStr">
        <is>
          <t>Logia</t>
        </is>
      </c>
      <c r="B84" s="7" t="inlineStr">
        <is>
          <t>Suivi</t>
        </is>
      </c>
      <c r="C84" s="7" t="inlineStr">
        <is>
          <t>Standard</t>
        </is>
      </c>
      <c r="D84" s="7" t="inlineStr">
        <is>
          <t>Suivi · Standard</t>
        </is>
      </c>
      <c r="E84" s="8" t="n">
        <v>10000</v>
      </c>
      <c r="F84" s="7" t="inlineStr">
        <is>
          <t>Mensuel</t>
        </is>
      </c>
    </row>
    <row r="85">
      <c r="A85" s="7" t="inlineStr">
        <is>
          <t>Logia</t>
        </is>
      </c>
      <c r="B85" s="7" t="inlineStr">
        <is>
          <t>Suivi</t>
        </is>
      </c>
      <c r="C85" s="7" t="inlineStr">
        <is>
          <t>Premium</t>
        </is>
      </c>
      <c r="D85" s="7" t="inlineStr">
        <is>
          <t>Suivi · Premium</t>
        </is>
      </c>
      <c r="E85" s="8" t="n">
        <v>20000</v>
      </c>
      <c r="F85" s="7" t="inlineStr">
        <is>
          <t>Mensuel</t>
        </is>
      </c>
    </row>
    <row r="86">
      <c r="A86" s="7" t="inlineStr">
        <is>
          <t>Logia</t>
        </is>
      </c>
      <c r="B86" s="7" t="inlineStr">
        <is>
          <t>Pack Starter : mise en service</t>
        </is>
      </c>
      <c r="C86" s="7" t="inlineStr">
        <is>
          <t>Pack</t>
        </is>
      </c>
      <c r="D86" s="7" t="inlineStr">
        <is>
          <t>Pack Starter : mise en service</t>
        </is>
      </c>
      <c r="E86" s="8" t="n">
        <v>7500</v>
      </c>
      <c r="F86" s="7" t="inlineStr">
        <is>
          <t>Unique</t>
        </is>
      </c>
    </row>
    <row r="87">
      <c r="A87" s="7" t="inlineStr">
        <is>
          <t>Logia</t>
        </is>
      </c>
      <c r="B87" s="7" t="inlineStr">
        <is>
          <t>Pack Starter : suivi</t>
        </is>
      </c>
      <c r="C87" s="7" t="inlineStr">
        <is>
          <t>Pack</t>
        </is>
      </c>
      <c r="D87" s="7" t="inlineStr">
        <is>
          <t>Pack Starter : suivi</t>
        </is>
      </c>
      <c r="E87" s="8" t="n">
        <v>5000</v>
      </c>
      <c r="F87" s="7" t="inlineStr">
        <is>
          <t>Mensuel</t>
        </is>
      </c>
    </row>
    <row r="88">
      <c r="A88" s="7" t="inlineStr">
        <is>
          <t>Logia</t>
        </is>
      </c>
      <c r="B88" s="7" t="inlineStr">
        <is>
          <t>Pack Business : mise en service</t>
        </is>
      </c>
      <c r="C88" s="7" t="inlineStr">
        <is>
          <t>Pack</t>
        </is>
      </c>
      <c r="D88" s="7" t="inlineStr">
        <is>
          <t>Pack Business : mise en service</t>
        </is>
      </c>
      <c r="E88" s="8" t="n">
        <v>40000</v>
      </c>
      <c r="F88" s="7" t="inlineStr">
        <is>
          <t>Unique</t>
        </is>
      </c>
    </row>
    <row r="89">
      <c r="A89" s="7" t="inlineStr">
        <is>
          <t>Logia</t>
        </is>
      </c>
      <c r="B89" s="7" t="inlineStr">
        <is>
          <t>Pack Business : suivi</t>
        </is>
      </c>
      <c r="C89" s="7" t="inlineStr">
        <is>
          <t>Pack</t>
        </is>
      </c>
      <c r="D89" s="7" t="inlineStr">
        <is>
          <t>Pack Business : suivi</t>
        </is>
      </c>
      <c r="E89" s="8" t="n">
        <v>10000</v>
      </c>
      <c r="F89" s="7" t="inlineStr">
        <is>
          <t>Mensuel</t>
        </is>
      </c>
    </row>
    <row r="90">
      <c r="A90" s="7" t="inlineStr">
        <is>
          <t>Logia</t>
        </is>
      </c>
      <c r="B90" s="7" t="inlineStr">
        <is>
          <t>Pack Entreprise : mise en service</t>
        </is>
      </c>
      <c r="C90" s="7" t="inlineStr">
        <is>
          <t>Pack</t>
        </is>
      </c>
      <c r="D90" s="7" t="inlineStr">
        <is>
          <t>Pack Entreprise : mise en service</t>
        </is>
      </c>
      <c r="E90" s="8" t="n">
        <v>110000</v>
      </c>
      <c r="F90" s="7" t="inlineStr">
        <is>
          <t>Unique</t>
        </is>
      </c>
    </row>
    <row r="91">
      <c r="A91" s="7" t="inlineStr">
        <is>
          <t>Logia</t>
        </is>
      </c>
      <c r="B91" s="7" t="inlineStr">
        <is>
          <t>Pack Entreprise : suivi</t>
        </is>
      </c>
      <c r="C91" s="7" t="inlineStr">
        <is>
          <t>Pack</t>
        </is>
      </c>
      <c r="D91" s="7" t="inlineStr">
        <is>
          <t>Pack Entreprise : suivi</t>
        </is>
      </c>
      <c r="E91" s="8" t="n">
        <v>20000</v>
      </c>
      <c r="F91" s="7" t="inlineStr">
        <is>
          <t>Mensuel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6:E4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5" customWidth="1" min="4" max="4"/>
    <col width="16" customWidth="1" min="5" max="5"/>
  </cols>
  <sheetData>
    <row r="6">
      <c r="A6" s="9" t="inlineStr">
        <is>
          <t>DWTS · Digital World Technology Service</t>
        </is>
      </c>
    </row>
    <row r="7">
      <c r="A7" s="10" t="inlineStr">
        <is>
          <t>Port-Gentil, Gabon  ·  WhatsApp 062 67 14 45  ·  digitalwtservice@gmail.com</t>
        </is>
      </c>
      <c r="B7" s="11" t="n"/>
      <c r="C7" s="11" t="n"/>
      <c r="D7" s="11" t="n"/>
      <c r="E7" s="11" t="n"/>
    </row>
    <row r="9">
      <c r="A9" s="12" t="inlineStr">
        <is>
          <t>DEVIS ÉTABLI POUR</t>
        </is>
      </c>
      <c r="D9" s="13" t="inlineStr">
        <is>
          <t>DEVIS N°</t>
        </is>
      </c>
      <c r="E9" s="14" t="inlineStr">
        <is>
          <t>DEV-V-001</t>
        </is>
      </c>
    </row>
    <row r="10">
      <c r="A10" s="15" t="inlineStr">
        <is>
          <t>Nom du client</t>
        </is>
      </c>
      <c r="D10" s="16" t="inlineStr">
        <is>
          <t>Date</t>
        </is>
      </c>
      <c r="E10" s="17">
        <f>TODAY()</f>
        <v/>
      </c>
    </row>
    <row r="11">
      <c r="A11" s="18" t="inlineStr">
        <is>
          <t>Activité ou besoin</t>
        </is>
      </c>
      <c r="D11" s="16" t="inlineStr">
        <is>
          <t>Validité (jours)</t>
        </is>
      </c>
      <c r="E11" s="19" t="n">
        <v>15</v>
      </c>
    </row>
    <row r="12">
      <c r="A12" s="18" t="inlineStr">
        <is>
          <t>WhatsApp du client</t>
        </is>
      </c>
      <c r="D12" s="16" t="inlineStr">
        <is>
          <t>Valable jusqu'au</t>
        </is>
      </c>
      <c r="E12" s="20">
        <f>E10+E11</f>
        <v/>
      </c>
    </row>
    <row r="14">
      <c r="A14" s="21" t="inlineStr">
        <is>
          <t>Article (choisir dans la liste)</t>
        </is>
      </c>
      <c r="B14" s="22" t="inlineStr">
        <is>
          <t>Qté</t>
        </is>
      </c>
      <c r="C14" s="22" t="inlineStr">
        <is>
          <t>Type</t>
        </is>
      </c>
      <c r="D14" s="22" t="inlineStr">
        <is>
          <t>Prix unitaire</t>
        </is>
      </c>
      <c r="E14" s="22" t="inlineStr">
        <is>
          <t>Total</t>
        </is>
      </c>
    </row>
    <row r="15">
      <c r="A15" s="23" t="n"/>
      <c r="B15" s="24" t="n"/>
      <c r="C15" s="25">
        <f>IF(A15="","",IFERROR(INDEX(Types,MATCH(A15,Articles,0)),"Unique"))</f>
        <v/>
      </c>
      <c r="D15" s="26">
        <f>IF(A15="","",IFERROR(INDEX(Prix,MATCH(A15,Articles,0)),0))</f>
        <v/>
      </c>
      <c r="E15" s="26">
        <f>IF(A15="","",IF(B15="",1,B15)*D15)</f>
        <v/>
      </c>
    </row>
    <row r="16">
      <c r="A16" s="23" t="n"/>
      <c r="B16" s="24" t="n"/>
      <c r="C16" s="25">
        <f>IF(A16="","",IFERROR(INDEX(Types,MATCH(A16,Articles,0)),"Unique"))</f>
        <v/>
      </c>
      <c r="D16" s="26">
        <f>IF(A16="","",IFERROR(INDEX(Prix,MATCH(A16,Articles,0)),0))</f>
        <v/>
      </c>
      <c r="E16" s="26">
        <f>IF(A16="","",IF(B16="",1,B16)*D16)</f>
        <v/>
      </c>
    </row>
    <row r="17">
      <c r="A17" s="23" t="n"/>
      <c r="B17" s="24" t="n"/>
      <c r="C17" s="25">
        <f>IF(A17="","",IFERROR(INDEX(Types,MATCH(A17,Articles,0)),"Unique"))</f>
        <v/>
      </c>
      <c r="D17" s="26">
        <f>IF(A17="","",IFERROR(INDEX(Prix,MATCH(A17,Articles,0)),0))</f>
        <v/>
      </c>
      <c r="E17" s="26">
        <f>IF(A17="","",IF(B17="",1,B17)*D17)</f>
        <v/>
      </c>
    </row>
    <row r="18">
      <c r="A18" s="23" t="n"/>
      <c r="B18" s="24" t="n"/>
      <c r="C18" s="25">
        <f>IF(A18="","",IFERROR(INDEX(Types,MATCH(A18,Articles,0)),"Unique"))</f>
        <v/>
      </c>
      <c r="D18" s="26">
        <f>IF(A18="","",IFERROR(INDEX(Prix,MATCH(A18,Articles,0)),0))</f>
        <v/>
      </c>
      <c r="E18" s="26">
        <f>IF(A18="","",IF(B18="",1,B18)*D18)</f>
        <v/>
      </c>
    </row>
    <row r="19">
      <c r="A19" s="23" t="n"/>
      <c r="B19" s="24" t="n"/>
      <c r="C19" s="25">
        <f>IF(A19="","",IFERROR(INDEX(Types,MATCH(A19,Articles,0)),"Unique"))</f>
        <v/>
      </c>
      <c r="D19" s="26">
        <f>IF(A19="","",IFERROR(INDEX(Prix,MATCH(A19,Articles,0)),0))</f>
        <v/>
      </c>
      <c r="E19" s="26">
        <f>IF(A19="","",IF(B19="",1,B19)*D19)</f>
        <v/>
      </c>
    </row>
    <row r="20">
      <c r="A20" s="23" t="n"/>
      <c r="B20" s="24" t="n"/>
      <c r="C20" s="25">
        <f>IF(A20="","",IFERROR(INDEX(Types,MATCH(A20,Articles,0)),"Unique"))</f>
        <v/>
      </c>
      <c r="D20" s="26">
        <f>IF(A20="","",IFERROR(INDEX(Prix,MATCH(A20,Articles,0)),0))</f>
        <v/>
      </c>
      <c r="E20" s="26">
        <f>IF(A20="","",IF(B20="",1,B20)*D20)</f>
        <v/>
      </c>
    </row>
    <row r="21">
      <c r="A21" s="23" t="n"/>
      <c r="B21" s="24" t="n"/>
      <c r="C21" s="25">
        <f>IF(A21="","",IFERROR(INDEX(Types,MATCH(A21,Articles,0)),"Unique"))</f>
        <v/>
      </c>
      <c r="D21" s="26">
        <f>IF(A21="","",IFERROR(INDEX(Prix,MATCH(A21,Articles,0)),0))</f>
        <v/>
      </c>
      <c r="E21" s="26">
        <f>IF(A21="","",IF(B21="",1,B21)*D21)</f>
        <v/>
      </c>
    </row>
    <row r="22">
      <c r="A22" s="23" t="n"/>
      <c r="B22" s="24" t="n"/>
      <c r="C22" s="25">
        <f>IF(A22="","",IFERROR(INDEX(Types,MATCH(A22,Articles,0)),"Unique"))</f>
        <v/>
      </c>
      <c r="D22" s="26">
        <f>IF(A22="","",IFERROR(INDEX(Prix,MATCH(A22,Articles,0)),0))</f>
        <v/>
      </c>
      <c r="E22" s="26">
        <f>IF(A22="","",IF(B22="",1,B22)*D22)</f>
        <v/>
      </c>
    </row>
    <row r="23">
      <c r="A23" s="23" t="n"/>
      <c r="B23" s="24" t="n"/>
      <c r="C23" s="25">
        <f>IF(A23="","",IFERROR(INDEX(Types,MATCH(A23,Articles,0)),"Unique"))</f>
        <v/>
      </c>
      <c r="D23" s="26">
        <f>IF(A23="","",IFERROR(INDEX(Prix,MATCH(A23,Articles,0)),0))</f>
        <v/>
      </c>
      <c r="E23" s="26">
        <f>IF(A23="","",IF(B23="",1,B23)*D23)</f>
        <v/>
      </c>
    </row>
    <row r="24">
      <c r="A24" s="23" t="n"/>
      <c r="B24" s="24" t="n"/>
      <c r="C24" s="25">
        <f>IF(A24="","",IFERROR(INDEX(Types,MATCH(A24,Articles,0)),"Unique"))</f>
        <v/>
      </c>
      <c r="D24" s="26">
        <f>IF(A24="","",IFERROR(INDEX(Prix,MATCH(A24,Articles,0)),0))</f>
        <v/>
      </c>
      <c r="E24" s="26">
        <f>IF(A24="","",IF(B24="",1,B24)*D24)</f>
        <v/>
      </c>
    </row>
    <row r="25">
      <c r="A25" s="23" t="n"/>
      <c r="B25" s="24" t="n"/>
      <c r="C25" s="25">
        <f>IF(A25="","",IFERROR(INDEX(Types,MATCH(A25,Articles,0)),"Unique"))</f>
        <v/>
      </c>
      <c r="D25" s="26">
        <f>IF(A25="","",IFERROR(INDEX(Prix,MATCH(A25,Articles,0)),0))</f>
        <v/>
      </c>
      <c r="E25" s="26">
        <f>IF(A25="","",IF(B25="",1,B25)*D25)</f>
        <v/>
      </c>
    </row>
    <row r="26">
      <c r="A26" s="23" t="n"/>
      <c r="B26" s="24" t="n"/>
      <c r="C26" s="25">
        <f>IF(A26="","",IFERROR(INDEX(Types,MATCH(A26,Articles,0)),"Unique"))</f>
        <v/>
      </c>
      <c r="D26" s="26">
        <f>IF(A26="","",IFERROR(INDEX(Prix,MATCH(A26,Articles,0)),0))</f>
        <v/>
      </c>
      <c r="E26" s="26">
        <f>IF(A26="","",IF(B26="",1,B26)*D26)</f>
        <v/>
      </c>
    </row>
    <row r="28">
      <c r="A28" s="27" t="inlineStr">
        <is>
          <t>Total paiement unique (une seule fois)</t>
        </is>
      </c>
      <c r="E28" s="28">
        <f>SUMIF(C15:C26,"Unique",E15:E26)</f>
        <v/>
      </c>
    </row>
    <row r="29">
      <c r="A29" s="27" t="inlineStr">
        <is>
          <t>Total mensuel (à chaque mois)</t>
        </is>
      </c>
      <c r="E29" s="28">
        <f>SUMIF(C15:C26,"Mensuel",E15:E26)</f>
        <v/>
      </c>
    </row>
    <row r="30">
      <c r="A30" s="29" t="inlineStr">
        <is>
          <t>TOTAL À PAYER AU DÉMARRAGE</t>
        </is>
      </c>
      <c r="B30" s="30" t="n"/>
      <c r="C30" s="30" t="n"/>
      <c r="D30" s="30" t="n"/>
      <c r="E30" s="31">
        <f>E28+E29</f>
        <v/>
      </c>
    </row>
    <row r="32">
      <c r="A32" s="12" t="inlineStr">
        <is>
          <t>Conditions</t>
        </is>
      </c>
    </row>
    <row r="33">
      <c r="A33" s="32" t="inlineStr">
        <is>
          <t>Paiement après validation de l'aperçu, par Airtel Money (074 74 13 03) ou Mobicash (062 67 14 45).</t>
        </is>
      </c>
    </row>
    <row r="34">
      <c r="A34" s="32" t="inlineStr">
        <is>
          <t>Les packs et la gestion se renouvellent chaque mois ; la publicité payante (Ads) n'est pas comprise.</t>
        </is>
      </c>
    </row>
    <row r="35">
      <c r="A35" s="32" t="inlineStr">
        <is>
          <t>Montants en XAF selon la grille Visuo. Cases jaunes modifiables : tout se recalcule.</t>
        </is>
      </c>
    </row>
    <row r="37">
      <c r="A37" s="33" t="inlineStr">
        <is>
          <t>Bon pour accord (client)</t>
        </is>
      </c>
      <c r="D37" s="33" t="inlineStr">
        <is>
          <t>Pour Visuo</t>
        </is>
      </c>
    </row>
    <row r="40">
      <c r="A40" s="7" t="n"/>
      <c r="D40" s="7" t="n"/>
      <c r="E40" s="7" t="n"/>
    </row>
    <row r="41">
      <c r="A41" s="34" t="inlineStr">
        <is>
          <t>Nom, date et signature</t>
        </is>
      </c>
      <c r="D41" s="34" t="inlineStr">
        <is>
          <t>Date et signature</t>
        </is>
      </c>
    </row>
  </sheetData>
  <mergeCells count="6">
    <mergeCell ref="A34:E34"/>
    <mergeCell ref="A35:E35"/>
    <mergeCell ref="A30:D30"/>
    <mergeCell ref="A33:E33"/>
    <mergeCell ref="A29:D29"/>
    <mergeCell ref="A28:D28"/>
  </mergeCells>
  <dataValidations count="1">
    <dataValidation sqref="A15 A16 A17 A18 A19 A20 A21 A22 A23 A24 A25 A26" showDropDown="0" showInputMessage="0" showErrorMessage="0" allowBlank="1" type="list">
      <formula1>=Liste_Visuo</formula1>
    </dataValidation>
  </dataValidations>
  <printOptions horizontalCentered="1"/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5:E4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5" customWidth="1" min="4" max="4"/>
    <col width="16" customWidth="1" min="5" max="5"/>
  </cols>
  <sheetData>
    <row r="5">
      <c r="A5" s="9" t="inlineStr">
        <is>
          <t>DWTS · Digital World Technology Service</t>
        </is>
      </c>
    </row>
    <row r="6">
      <c r="A6" s="35" t="inlineStr">
        <is>
          <t>Port-Gentil, Gabon  ·  WhatsApp 062 67 14 45  ·  digitalwtservice@gmail.com</t>
        </is>
      </c>
      <c r="B6" s="36" t="n"/>
      <c r="C6" s="36" t="n"/>
      <c r="D6" s="36" t="n"/>
      <c r="E6" s="36" t="n"/>
    </row>
    <row r="8">
      <c r="A8" s="37" t="inlineStr">
        <is>
          <t>DEVIS ÉTABLI POUR</t>
        </is>
      </c>
      <c r="D8" s="13" t="inlineStr">
        <is>
          <t>DEVIS N°</t>
        </is>
      </c>
      <c r="E8" s="38" t="inlineStr">
        <is>
          <t>DEV-L-001</t>
        </is>
      </c>
    </row>
    <row r="9">
      <c r="A9" s="15" t="inlineStr">
        <is>
          <t>Nom du client</t>
        </is>
      </c>
      <c r="D9" s="16" t="inlineStr">
        <is>
          <t>Date</t>
        </is>
      </c>
      <c r="E9" s="17">
        <f>TODAY()</f>
        <v/>
      </c>
    </row>
    <row r="10">
      <c r="A10" s="18" t="inlineStr">
        <is>
          <t>Activité ou besoin</t>
        </is>
      </c>
      <c r="D10" s="16" t="inlineStr">
        <is>
          <t>Validité (jours)</t>
        </is>
      </c>
      <c r="E10" s="19" t="n">
        <v>15</v>
      </c>
    </row>
    <row r="11">
      <c r="A11" s="18" t="inlineStr">
        <is>
          <t>WhatsApp du client</t>
        </is>
      </c>
      <c r="D11" s="16" t="inlineStr">
        <is>
          <t>Valable jusqu'au</t>
        </is>
      </c>
      <c r="E11" s="20">
        <f>E9+E10</f>
        <v/>
      </c>
    </row>
    <row r="13">
      <c r="A13" s="21" t="inlineStr">
        <is>
          <t>Article (choisir dans la liste)</t>
        </is>
      </c>
      <c r="B13" s="22" t="inlineStr">
        <is>
          <t>Qté</t>
        </is>
      </c>
      <c r="C13" s="22" t="inlineStr">
        <is>
          <t>Type</t>
        </is>
      </c>
      <c r="D13" s="22" t="inlineStr">
        <is>
          <t>Prix unitaire</t>
        </is>
      </c>
      <c r="E13" s="22" t="inlineStr">
        <is>
          <t>Total</t>
        </is>
      </c>
    </row>
    <row r="14">
      <c r="A14" s="23" t="n"/>
      <c r="B14" s="24" t="n"/>
      <c r="C14" s="25">
        <f>IF(A14="","",IFERROR(INDEX(Types,MATCH(A14,Articles,0)),"Unique"))</f>
        <v/>
      </c>
      <c r="D14" s="26">
        <f>IF(A14="","",IFERROR(INDEX(Prix,MATCH(A14,Articles,0)),0))</f>
        <v/>
      </c>
      <c r="E14" s="26">
        <f>IF(A14="","",IF(B14="",1,B14)*D14)</f>
        <v/>
      </c>
    </row>
    <row r="15">
      <c r="A15" s="23" t="n"/>
      <c r="B15" s="24" t="n"/>
      <c r="C15" s="25">
        <f>IF(A15="","",IFERROR(INDEX(Types,MATCH(A15,Articles,0)),"Unique"))</f>
        <v/>
      </c>
      <c r="D15" s="26">
        <f>IF(A15="","",IFERROR(INDEX(Prix,MATCH(A15,Articles,0)),0))</f>
        <v/>
      </c>
      <c r="E15" s="26">
        <f>IF(A15="","",IF(B15="",1,B15)*D15)</f>
        <v/>
      </c>
    </row>
    <row r="16">
      <c r="A16" s="23" t="n"/>
      <c r="B16" s="24" t="n"/>
      <c r="C16" s="25">
        <f>IF(A16="","",IFERROR(INDEX(Types,MATCH(A16,Articles,0)),"Unique"))</f>
        <v/>
      </c>
      <c r="D16" s="26">
        <f>IF(A16="","",IFERROR(INDEX(Prix,MATCH(A16,Articles,0)),0))</f>
        <v/>
      </c>
      <c r="E16" s="26">
        <f>IF(A16="","",IF(B16="",1,B16)*D16)</f>
        <v/>
      </c>
    </row>
    <row r="17">
      <c r="A17" s="23" t="n"/>
      <c r="B17" s="24" t="n"/>
      <c r="C17" s="25">
        <f>IF(A17="","",IFERROR(INDEX(Types,MATCH(A17,Articles,0)),"Unique"))</f>
        <v/>
      </c>
      <c r="D17" s="26">
        <f>IF(A17="","",IFERROR(INDEX(Prix,MATCH(A17,Articles,0)),0))</f>
        <v/>
      </c>
      <c r="E17" s="26">
        <f>IF(A17="","",IF(B17="",1,B17)*D17)</f>
        <v/>
      </c>
    </row>
    <row r="18">
      <c r="A18" s="23" t="n"/>
      <c r="B18" s="24" t="n"/>
      <c r="C18" s="25">
        <f>IF(A18="","",IFERROR(INDEX(Types,MATCH(A18,Articles,0)),"Unique"))</f>
        <v/>
      </c>
      <c r="D18" s="26">
        <f>IF(A18="","",IFERROR(INDEX(Prix,MATCH(A18,Articles,0)),0))</f>
        <v/>
      </c>
      <c r="E18" s="26">
        <f>IF(A18="","",IF(B18="",1,B18)*D18)</f>
        <v/>
      </c>
    </row>
    <row r="19">
      <c r="A19" s="23" t="n"/>
      <c r="B19" s="24" t="n"/>
      <c r="C19" s="25">
        <f>IF(A19="","",IFERROR(INDEX(Types,MATCH(A19,Articles,0)),"Unique"))</f>
        <v/>
      </c>
      <c r="D19" s="26">
        <f>IF(A19="","",IFERROR(INDEX(Prix,MATCH(A19,Articles,0)),0))</f>
        <v/>
      </c>
      <c r="E19" s="26">
        <f>IF(A19="","",IF(B19="",1,B19)*D19)</f>
        <v/>
      </c>
    </row>
    <row r="20">
      <c r="A20" s="23" t="n"/>
      <c r="B20" s="24" t="n"/>
      <c r="C20" s="25">
        <f>IF(A20="","",IFERROR(INDEX(Types,MATCH(A20,Articles,0)),"Unique"))</f>
        <v/>
      </c>
      <c r="D20" s="26">
        <f>IF(A20="","",IFERROR(INDEX(Prix,MATCH(A20,Articles,0)),0))</f>
        <v/>
      </c>
      <c r="E20" s="26">
        <f>IF(A20="","",IF(B20="",1,B20)*D20)</f>
        <v/>
      </c>
    </row>
    <row r="21">
      <c r="A21" s="23" t="n"/>
      <c r="B21" s="24" t="n"/>
      <c r="C21" s="25">
        <f>IF(A21="","",IFERROR(INDEX(Types,MATCH(A21,Articles,0)),"Unique"))</f>
        <v/>
      </c>
      <c r="D21" s="26">
        <f>IF(A21="","",IFERROR(INDEX(Prix,MATCH(A21,Articles,0)),0))</f>
        <v/>
      </c>
      <c r="E21" s="26">
        <f>IF(A21="","",IF(B21="",1,B21)*D21)</f>
        <v/>
      </c>
    </row>
    <row r="22">
      <c r="A22" s="23" t="n"/>
      <c r="B22" s="24" t="n"/>
      <c r="C22" s="25">
        <f>IF(A22="","",IFERROR(INDEX(Types,MATCH(A22,Articles,0)),"Unique"))</f>
        <v/>
      </c>
      <c r="D22" s="26">
        <f>IF(A22="","",IFERROR(INDEX(Prix,MATCH(A22,Articles,0)),0))</f>
        <v/>
      </c>
      <c r="E22" s="26">
        <f>IF(A22="","",IF(B22="",1,B22)*D22)</f>
        <v/>
      </c>
    </row>
    <row r="23">
      <c r="A23" s="23" t="n"/>
      <c r="B23" s="24" t="n"/>
      <c r="C23" s="25">
        <f>IF(A23="","",IFERROR(INDEX(Types,MATCH(A23,Articles,0)),"Unique"))</f>
        <v/>
      </c>
      <c r="D23" s="26">
        <f>IF(A23="","",IFERROR(INDEX(Prix,MATCH(A23,Articles,0)),0))</f>
        <v/>
      </c>
      <c r="E23" s="26">
        <f>IF(A23="","",IF(B23="",1,B23)*D23)</f>
        <v/>
      </c>
    </row>
    <row r="24">
      <c r="A24" s="23" t="n"/>
      <c r="B24" s="24" t="n"/>
      <c r="C24" s="25">
        <f>IF(A24="","",IFERROR(INDEX(Types,MATCH(A24,Articles,0)),"Unique"))</f>
        <v/>
      </c>
      <c r="D24" s="26">
        <f>IF(A24="","",IFERROR(INDEX(Prix,MATCH(A24,Articles,0)),0))</f>
        <v/>
      </c>
      <c r="E24" s="26">
        <f>IF(A24="","",IF(B24="",1,B24)*D24)</f>
        <v/>
      </c>
    </row>
    <row r="25">
      <c r="A25" s="23" t="n"/>
      <c r="B25" s="24" t="n"/>
      <c r="C25" s="25">
        <f>IF(A25="","",IFERROR(INDEX(Types,MATCH(A25,Articles,0)),"Unique"))</f>
        <v/>
      </c>
      <c r="D25" s="26">
        <f>IF(A25="","",IFERROR(INDEX(Prix,MATCH(A25,Articles,0)),0))</f>
        <v/>
      </c>
      <c r="E25" s="26">
        <f>IF(A25="","",IF(B25="",1,B25)*D25)</f>
        <v/>
      </c>
    </row>
    <row r="27">
      <c r="A27" s="27" t="inlineStr">
        <is>
          <t>Total paiement unique (une seule fois)</t>
        </is>
      </c>
      <c r="E27" s="28">
        <f>SUMIF(C14:C25,"Unique",E14:E25)</f>
        <v/>
      </c>
    </row>
    <row r="28">
      <c r="A28" s="27" t="inlineStr">
        <is>
          <t>Total mensuel (à chaque mois)</t>
        </is>
      </c>
      <c r="E28" s="28">
        <f>SUMIF(C14:C25,"Mensuel",E14:E25)</f>
        <v/>
      </c>
    </row>
    <row r="29">
      <c r="A29" s="39" t="inlineStr">
        <is>
          <t>TOTAL À PAYER AU DÉMARRAGE</t>
        </is>
      </c>
      <c r="B29" s="40" t="n"/>
      <c r="C29" s="40" t="n"/>
      <c r="D29" s="40" t="n"/>
      <c r="E29" s="41">
        <f>E27+E28</f>
        <v/>
      </c>
    </row>
    <row r="31">
      <c r="A31" s="37" t="inlineStr">
        <is>
          <t>Conditions</t>
        </is>
      </c>
    </row>
    <row r="32">
      <c r="A32" s="32" t="inlineStr">
        <is>
          <t>Mise en service après validation de la démonstration ; paiement par Airtel Money ou Mobicash.</t>
        </is>
      </c>
    </row>
    <row r="33">
      <c r="A33" s="32" t="inlineStr">
        <is>
          <t>Le suivi mensuel démarre le mois de la mise en service et se renouvelle chaque mois.</t>
        </is>
      </c>
    </row>
    <row r="34">
      <c r="A34" s="32" t="inlineStr">
        <is>
          <t>Montants en XAF selon la grille Logia. Cases jaunes modifiables : tout se recalcule.</t>
        </is>
      </c>
    </row>
    <row r="36">
      <c r="A36" s="33" t="inlineStr">
        <is>
          <t>Bon pour accord (client)</t>
        </is>
      </c>
      <c r="D36" s="33" t="inlineStr">
        <is>
          <t>Pour Logia</t>
        </is>
      </c>
    </row>
    <row r="39">
      <c r="A39" s="7" t="n"/>
      <c r="D39" s="7" t="n"/>
      <c r="E39" s="7" t="n"/>
    </row>
    <row r="40">
      <c r="A40" s="34" t="inlineStr">
        <is>
          <t>Nom, date et signature</t>
        </is>
      </c>
      <c r="D40" s="34" t="inlineStr">
        <is>
          <t>Date et signature</t>
        </is>
      </c>
    </row>
  </sheetData>
  <mergeCells count="6">
    <mergeCell ref="A34:E34"/>
    <mergeCell ref="A27:D27"/>
    <mergeCell ref="A33:E33"/>
    <mergeCell ref="A29:D29"/>
    <mergeCell ref="A32:E32"/>
    <mergeCell ref="A28:D28"/>
  </mergeCells>
  <dataValidations count="1">
    <dataValidation sqref="A14 A15 A16 A17 A18 A19 A20 A21 A22 A23 A24 A25" showDropDown="0" showInputMessage="0" showErrorMessage="0" allowBlank="1" type="list">
      <formula1>=Liste_Logia</formula1>
    </dataValidation>
  </dataValidations>
  <printOptions horizontalCentered="1"/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6:D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2" customWidth="1" min="3" max="3"/>
    <col width="13" customWidth="1" min="4" max="4"/>
  </cols>
  <sheetData>
    <row r="6">
      <c r="A6" s="9" t="inlineStr">
        <is>
          <t>DWTS · Digital World Technology Service</t>
        </is>
      </c>
    </row>
    <row r="7">
      <c r="A7" s="42" t="inlineStr">
        <is>
          <t>Port-Gentil, Gabon  ·  WhatsApp 062 67 14 45  ·  digitalwtservice@gmail.com</t>
        </is>
      </c>
      <c r="B7" s="43" t="n"/>
      <c r="C7" s="43" t="n"/>
      <c r="D7" s="43" t="n"/>
    </row>
    <row r="9">
      <c r="A9" s="44" t="inlineStr">
        <is>
          <t>FACTURÉ À</t>
        </is>
      </c>
      <c r="C9" s="13" t="inlineStr">
        <is>
          <t>FACTURE N°</t>
        </is>
      </c>
      <c r="D9" s="45" t="inlineStr">
        <is>
          <t>FAC-D-0001</t>
        </is>
      </c>
    </row>
    <row r="10">
      <c r="A10" s="46" t="inlineStr">
        <is>
          <t>Nom du client</t>
        </is>
      </c>
      <c r="C10" s="16" t="inlineStr">
        <is>
          <t>Date</t>
        </is>
      </c>
      <c r="D10" s="17">
        <f>TODAY()</f>
        <v/>
      </c>
    </row>
    <row r="11">
      <c r="A11" s="47" t="inlineStr">
        <is>
          <t>WhatsApp du client</t>
        </is>
      </c>
    </row>
    <row r="13">
      <c r="A13" s="48" t="inlineStr">
        <is>
          <t>Désignation</t>
        </is>
      </c>
      <c r="B13" s="49" t="inlineStr">
        <is>
          <t>Qté</t>
        </is>
      </c>
      <c r="C13" s="49" t="inlineStr">
        <is>
          <t>Prix unit.</t>
        </is>
      </c>
      <c r="D13" s="49" t="inlineStr">
        <is>
          <t>Total</t>
        </is>
      </c>
    </row>
    <row r="14">
      <c r="A14" s="23" t="n"/>
      <c r="B14" s="24" t="n"/>
      <c r="C14" s="26">
        <f>IF(A14="","",IFERROR(INDEX(Prix,MATCH(A14,Articles,0)),0))</f>
        <v/>
      </c>
      <c r="D14" s="26">
        <f>IF(A14="","",IF(B14="",1,B14)*C14)</f>
        <v/>
      </c>
    </row>
    <row r="15">
      <c r="A15" s="23" t="n"/>
      <c r="B15" s="24" t="n"/>
      <c r="C15" s="26">
        <f>IF(A15="","",IFERROR(INDEX(Prix,MATCH(A15,Articles,0)),0))</f>
        <v/>
      </c>
      <c r="D15" s="26">
        <f>IF(A15="","",IF(B15="",1,B15)*C15)</f>
        <v/>
      </c>
    </row>
    <row r="16">
      <c r="A16" s="23" t="n"/>
      <c r="B16" s="24" t="n"/>
      <c r="C16" s="26">
        <f>IF(A16="","",IFERROR(INDEX(Prix,MATCH(A16,Articles,0)),0))</f>
        <v/>
      </c>
      <c r="D16" s="26">
        <f>IF(A16="","",IF(B16="",1,B16)*C16)</f>
        <v/>
      </c>
    </row>
    <row r="17">
      <c r="A17" s="23" t="n"/>
      <c r="B17" s="24" t="n"/>
      <c r="C17" s="26">
        <f>IF(A17="","",IFERROR(INDEX(Prix,MATCH(A17,Articles,0)),0))</f>
        <v/>
      </c>
      <c r="D17" s="26">
        <f>IF(A17="","",IF(B17="",1,B17)*C17)</f>
        <v/>
      </c>
    </row>
    <row r="18">
      <c r="A18" s="23" t="n"/>
      <c r="B18" s="24" t="n"/>
      <c r="C18" s="26">
        <f>IF(A18="","",IFERROR(INDEX(Prix,MATCH(A18,Articles,0)),0))</f>
        <v/>
      </c>
      <c r="D18" s="26">
        <f>IF(A18="","",IF(B18="",1,B18)*C18)</f>
        <v/>
      </c>
    </row>
    <row r="19">
      <c r="A19" s="23" t="n"/>
      <c r="B19" s="24" t="n"/>
      <c r="C19" s="26">
        <f>IF(A19="","",IFERROR(INDEX(Prix,MATCH(A19,Articles,0)),0))</f>
        <v/>
      </c>
      <c r="D19" s="26">
        <f>IF(A19="","",IF(B19="",1,B19)*C19)</f>
        <v/>
      </c>
    </row>
    <row r="20">
      <c r="A20" s="50" t="inlineStr">
        <is>
          <t>TOTAL PAYÉ</t>
        </is>
      </c>
      <c r="B20" s="51" t="n"/>
      <c r="C20" s="51" t="n"/>
      <c r="D20" s="52">
        <f>SUM(D14:D19)</f>
        <v/>
      </c>
    </row>
    <row r="22">
      <c r="A22" s="53" t="inlineStr">
        <is>
          <t>Payé par</t>
        </is>
      </c>
      <c r="B22" s="47" t="inlineStr">
        <is>
          <t>Airtel Money</t>
        </is>
      </c>
    </row>
    <row r="23">
      <c r="A23" s="53" t="inlineStr">
        <is>
          <t>Le</t>
        </is>
      </c>
      <c r="B23" s="54">
        <f>TODAY()</f>
        <v/>
      </c>
    </row>
    <row r="24">
      <c r="A24" s="53" t="inlineStr">
        <is>
          <t>TID</t>
        </is>
      </c>
      <c r="B24" s="47" t="inlineStr"/>
    </row>
    <row r="26">
      <c r="A26" s="55" t="inlineStr">
        <is>
          <t>Merci pour votre confiance !</t>
        </is>
      </c>
    </row>
  </sheetData>
  <mergeCells count="5">
    <mergeCell ref="B23:D23"/>
    <mergeCell ref="B22:D22"/>
    <mergeCell ref="A26:D26"/>
    <mergeCell ref="A20:C20"/>
    <mergeCell ref="B24:D24"/>
  </mergeCells>
  <dataValidations count="2">
    <dataValidation sqref="A14 A15 A16 A17 A18 A19" showDropDown="0" showInputMessage="0" showErrorMessage="0" allowBlank="1" type="list">
      <formula1>=Liste_DEX</formula1>
    </dataValidation>
    <dataValidation sqref="B22" showDropDown="0" showInputMessage="0" showErrorMessage="0" allowBlank="1" type="list">
      <formula1>"Airtel Money,Mobicash,Dépôt chez un agent,Carte (Chariow)"</formula1>
    </dataValidation>
  </dataValidations>
  <printOptions horizontalCentered="1"/>
  <pageMargins left="0.4" right="0.4" top="0.4" bottom="0.4" header="0.5" footer="0.5"/>
  <pageSetup orientation="portrait" paperSize="1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5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2" customWidth="1" min="3" max="3"/>
    <col width="13" customWidth="1" min="4" max="4"/>
  </cols>
  <sheetData>
    <row r="5">
      <c r="A5" s="9" t="inlineStr">
        <is>
          <t>DWTS · Digital World Technology Service</t>
        </is>
      </c>
    </row>
    <row r="6">
      <c r="A6" s="10" t="inlineStr">
        <is>
          <t>Port-Gentil, Gabon  ·  WhatsApp 062 67 14 45  ·  digitalwtservice@gmail.com</t>
        </is>
      </c>
      <c r="B6" s="11" t="n"/>
      <c r="C6" s="11" t="n"/>
      <c r="D6" s="11" t="n"/>
    </row>
    <row r="8">
      <c r="A8" s="12" t="inlineStr">
        <is>
          <t>FACTURÉ À</t>
        </is>
      </c>
      <c r="C8" s="13" t="inlineStr">
        <is>
          <t>FACTURE N°</t>
        </is>
      </c>
      <c r="D8" s="14" t="inlineStr">
        <is>
          <t>FAC-V-0001</t>
        </is>
      </c>
    </row>
    <row r="9">
      <c r="A9" s="46" t="inlineStr">
        <is>
          <t>Nom du client</t>
        </is>
      </c>
      <c r="C9" s="16" t="inlineStr">
        <is>
          <t>Date</t>
        </is>
      </c>
      <c r="D9" s="17">
        <f>TODAY()</f>
        <v/>
      </c>
    </row>
    <row r="10">
      <c r="A10" s="47" t="inlineStr">
        <is>
          <t>WhatsApp du client</t>
        </is>
      </c>
    </row>
    <row r="12">
      <c r="A12" s="48" t="inlineStr">
        <is>
          <t>Désignation</t>
        </is>
      </c>
      <c r="B12" s="49" t="inlineStr">
        <is>
          <t>Qté</t>
        </is>
      </c>
      <c r="C12" s="49" t="inlineStr">
        <is>
          <t>Prix unit.</t>
        </is>
      </c>
      <c r="D12" s="49" t="inlineStr">
        <is>
          <t>Total</t>
        </is>
      </c>
    </row>
    <row r="13">
      <c r="A13" s="23" t="n"/>
      <c r="B13" s="24" t="n"/>
      <c r="C13" s="26">
        <f>IF(A13="","",IFERROR(INDEX(Prix,MATCH(A13,Articles,0)),0))</f>
        <v/>
      </c>
      <c r="D13" s="26">
        <f>IF(A13="","",IF(B13="",1,B13)*C13)</f>
        <v/>
      </c>
    </row>
    <row r="14">
      <c r="A14" s="23" t="n"/>
      <c r="B14" s="24" t="n"/>
      <c r="C14" s="26">
        <f>IF(A14="","",IFERROR(INDEX(Prix,MATCH(A14,Articles,0)),0))</f>
        <v/>
      </c>
      <c r="D14" s="26">
        <f>IF(A14="","",IF(B14="",1,B14)*C14)</f>
        <v/>
      </c>
    </row>
    <row r="15">
      <c r="A15" s="23" t="n"/>
      <c r="B15" s="24" t="n"/>
      <c r="C15" s="26">
        <f>IF(A15="","",IFERROR(INDEX(Prix,MATCH(A15,Articles,0)),0))</f>
        <v/>
      </c>
      <c r="D15" s="26">
        <f>IF(A15="","",IF(B15="",1,B15)*C15)</f>
        <v/>
      </c>
    </row>
    <row r="16">
      <c r="A16" s="23" t="n"/>
      <c r="B16" s="24" t="n"/>
      <c r="C16" s="26">
        <f>IF(A16="","",IFERROR(INDEX(Prix,MATCH(A16,Articles,0)),0))</f>
        <v/>
      </c>
      <c r="D16" s="26">
        <f>IF(A16="","",IF(B16="",1,B16)*C16)</f>
        <v/>
      </c>
    </row>
    <row r="17">
      <c r="A17" s="23" t="n"/>
      <c r="B17" s="24" t="n"/>
      <c r="C17" s="26">
        <f>IF(A17="","",IFERROR(INDEX(Prix,MATCH(A17,Articles,0)),0))</f>
        <v/>
      </c>
      <c r="D17" s="26">
        <f>IF(A17="","",IF(B17="",1,B17)*C17)</f>
        <v/>
      </c>
    </row>
    <row r="18">
      <c r="A18" s="23" t="n"/>
      <c r="B18" s="24" t="n"/>
      <c r="C18" s="26">
        <f>IF(A18="","",IFERROR(INDEX(Prix,MATCH(A18,Articles,0)),0))</f>
        <v/>
      </c>
      <c r="D18" s="26">
        <f>IF(A18="","",IF(B18="",1,B18)*C18)</f>
        <v/>
      </c>
    </row>
    <row r="19">
      <c r="A19" s="56" t="inlineStr">
        <is>
          <t>TOTAL PAYÉ</t>
        </is>
      </c>
      <c r="B19" s="57" t="n"/>
      <c r="C19" s="57" t="n"/>
      <c r="D19" s="58">
        <f>SUM(D13:D18)</f>
        <v/>
      </c>
    </row>
    <row r="21">
      <c r="A21" s="53" t="inlineStr">
        <is>
          <t>Payé par</t>
        </is>
      </c>
      <c r="B21" s="47" t="inlineStr">
        <is>
          <t>Airtel Money</t>
        </is>
      </c>
    </row>
    <row r="22">
      <c r="A22" s="53" t="inlineStr">
        <is>
          <t>Le</t>
        </is>
      </c>
      <c r="B22" s="54">
        <f>TODAY()</f>
        <v/>
      </c>
    </row>
    <row r="23">
      <c r="A23" s="53" t="inlineStr">
        <is>
          <t>TID</t>
        </is>
      </c>
      <c r="B23" s="47" t="inlineStr"/>
    </row>
    <row r="25">
      <c r="A25" s="59" t="inlineStr">
        <is>
          <t>Merci pour votre confiance !</t>
        </is>
      </c>
    </row>
  </sheetData>
  <mergeCells count="5">
    <mergeCell ref="A19:C19"/>
    <mergeCell ref="B23:D23"/>
    <mergeCell ref="B22:D22"/>
    <mergeCell ref="A25:D25"/>
    <mergeCell ref="B21:D21"/>
  </mergeCells>
  <dataValidations count="2">
    <dataValidation sqref="A13 A14 A15 A16 A17 A18" showDropDown="0" showInputMessage="0" showErrorMessage="0" allowBlank="1" type="list">
      <formula1>=Liste_Visuo</formula1>
    </dataValidation>
    <dataValidation sqref="B21" showDropDown="0" showInputMessage="0" showErrorMessage="0" allowBlank="1" type="list">
      <formula1>"Airtel Money,Mobicash,Dépôt chez un agent,Carte (Chariow)"</formula1>
    </dataValidation>
  </dataValidations>
  <printOptions horizontalCentered="1"/>
  <pageMargins left="0.4" right="0.4" top="0.4" bottom="0.4" header="0.5" footer="0.5"/>
  <pageSetup orientation="portrait" paperSize="1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5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2" customWidth="1" min="3" max="3"/>
    <col width="13" customWidth="1" min="4" max="4"/>
  </cols>
  <sheetData>
    <row r="5">
      <c r="A5" s="9" t="inlineStr">
        <is>
          <t>DWTS · Digital World Technology Service</t>
        </is>
      </c>
    </row>
    <row r="6">
      <c r="A6" s="35" t="inlineStr">
        <is>
          <t>Port-Gentil, Gabon  ·  WhatsApp 062 67 14 45  ·  digitalwtservice@gmail.com</t>
        </is>
      </c>
      <c r="B6" s="36" t="n"/>
      <c r="C6" s="36" t="n"/>
      <c r="D6" s="36" t="n"/>
    </row>
    <row r="8">
      <c r="A8" s="37" t="inlineStr">
        <is>
          <t>FACTURÉ À</t>
        </is>
      </c>
      <c r="C8" s="13" t="inlineStr">
        <is>
          <t>FACTURE N°</t>
        </is>
      </c>
      <c r="D8" s="38" t="inlineStr">
        <is>
          <t>FAC-L-0001</t>
        </is>
      </c>
    </row>
    <row r="9">
      <c r="A9" s="46" t="inlineStr">
        <is>
          <t>Nom du client</t>
        </is>
      </c>
      <c r="C9" s="16" t="inlineStr">
        <is>
          <t>Date</t>
        </is>
      </c>
      <c r="D9" s="17">
        <f>TODAY()</f>
        <v/>
      </c>
    </row>
    <row r="10">
      <c r="A10" s="47" t="inlineStr">
        <is>
          <t>WhatsApp du client</t>
        </is>
      </c>
    </row>
    <row r="12">
      <c r="A12" s="48" t="inlineStr">
        <is>
          <t>Désignation</t>
        </is>
      </c>
      <c r="B12" s="49" t="inlineStr">
        <is>
          <t>Qté</t>
        </is>
      </c>
      <c r="C12" s="49" t="inlineStr">
        <is>
          <t>Prix unit.</t>
        </is>
      </c>
      <c r="D12" s="49" t="inlineStr">
        <is>
          <t>Total</t>
        </is>
      </c>
    </row>
    <row r="13">
      <c r="A13" s="23" t="n"/>
      <c r="B13" s="24" t="n"/>
      <c r="C13" s="26">
        <f>IF(A13="","",IFERROR(INDEX(Prix,MATCH(A13,Articles,0)),0))</f>
        <v/>
      </c>
      <c r="D13" s="26">
        <f>IF(A13="","",IF(B13="",1,B13)*C13)</f>
        <v/>
      </c>
    </row>
    <row r="14">
      <c r="A14" s="23" t="n"/>
      <c r="B14" s="24" t="n"/>
      <c r="C14" s="26">
        <f>IF(A14="","",IFERROR(INDEX(Prix,MATCH(A14,Articles,0)),0))</f>
        <v/>
      </c>
      <c r="D14" s="26">
        <f>IF(A14="","",IF(B14="",1,B14)*C14)</f>
        <v/>
      </c>
    </row>
    <row r="15">
      <c r="A15" s="23" t="n"/>
      <c r="B15" s="24" t="n"/>
      <c r="C15" s="26">
        <f>IF(A15="","",IFERROR(INDEX(Prix,MATCH(A15,Articles,0)),0))</f>
        <v/>
      </c>
      <c r="D15" s="26">
        <f>IF(A15="","",IF(B15="",1,B15)*C15)</f>
        <v/>
      </c>
    </row>
    <row r="16">
      <c r="A16" s="23" t="n"/>
      <c r="B16" s="24" t="n"/>
      <c r="C16" s="26">
        <f>IF(A16="","",IFERROR(INDEX(Prix,MATCH(A16,Articles,0)),0))</f>
        <v/>
      </c>
      <c r="D16" s="26">
        <f>IF(A16="","",IF(B16="",1,B16)*C16)</f>
        <v/>
      </c>
    </row>
    <row r="17">
      <c r="A17" s="23" t="n"/>
      <c r="B17" s="24" t="n"/>
      <c r="C17" s="26">
        <f>IF(A17="","",IFERROR(INDEX(Prix,MATCH(A17,Articles,0)),0))</f>
        <v/>
      </c>
      <c r="D17" s="26">
        <f>IF(A17="","",IF(B17="",1,B17)*C17)</f>
        <v/>
      </c>
    </row>
    <row r="18">
      <c r="A18" s="23" t="n"/>
      <c r="B18" s="24" t="n"/>
      <c r="C18" s="26">
        <f>IF(A18="","",IFERROR(INDEX(Prix,MATCH(A18,Articles,0)),0))</f>
        <v/>
      </c>
      <c r="D18" s="26">
        <f>IF(A18="","",IF(B18="",1,B18)*C18)</f>
        <v/>
      </c>
    </row>
    <row r="19">
      <c r="A19" s="60" t="inlineStr">
        <is>
          <t>TOTAL PAYÉ</t>
        </is>
      </c>
      <c r="B19" s="61" t="n"/>
      <c r="C19" s="61" t="n"/>
      <c r="D19" s="62">
        <f>SUM(D13:D18)</f>
        <v/>
      </c>
    </row>
    <row r="21">
      <c r="A21" s="53" t="inlineStr">
        <is>
          <t>Payé par</t>
        </is>
      </c>
      <c r="B21" s="47" t="inlineStr">
        <is>
          <t>Airtel Money</t>
        </is>
      </c>
    </row>
    <row r="22">
      <c r="A22" s="53" t="inlineStr">
        <is>
          <t>Le</t>
        </is>
      </c>
      <c r="B22" s="54">
        <f>TODAY()</f>
        <v/>
      </c>
    </row>
    <row r="23">
      <c r="A23" s="53" t="inlineStr">
        <is>
          <t>TID</t>
        </is>
      </c>
      <c r="B23" s="47" t="inlineStr"/>
    </row>
    <row r="25">
      <c r="A25" s="63" t="inlineStr">
        <is>
          <t>Merci pour votre confiance !</t>
        </is>
      </c>
    </row>
  </sheetData>
  <mergeCells count="5">
    <mergeCell ref="A19:C19"/>
    <mergeCell ref="B23:D23"/>
    <mergeCell ref="B22:D22"/>
    <mergeCell ref="A25:D25"/>
    <mergeCell ref="B21:D21"/>
  </mergeCells>
  <dataValidations count="2">
    <dataValidation sqref="A13 A14 A15 A16 A17 A18" showDropDown="0" showInputMessage="0" showErrorMessage="0" allowBlank="1" type="list">
      <formula1>=Liste_Logia</formula1>
    </dataValidation>
    <dataValidation sqref="B21" showDropDown="0" showInputMessage="0" showErrorMessage="0" allowBlank="1" type="list">
      <formula1>"Airtel Money,Mobicash,Dépôt chez un agent,Carte (Chariow)"</formula1>
    </dataValidation>
  </dataValidations>
  <printOptions horizontalCentered="1"/>
  <pageMargins left="0.4" right="0.4" top="0.4" bottom="0.4" header="0.5" footer="0.5"/>
  <pageSetup orientation="portrait" paperSize="11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2026-10-22T17:33:15Z</dcterms:created>
  <dcterms:modified xmlns:dcterms="http://purl.org/dc/terms/" xmlns:xsi="http://www.w3.org/2001/XMLSchema-instance" xsi:type="dcterms:W3CDTF">2026-10-22T17:33:15Z</dcterms:modified>
</cp:coreProperties>
</file>