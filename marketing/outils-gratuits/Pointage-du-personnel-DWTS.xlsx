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de d'emploi" sheetId="1" state="visible" r:id="rId1"/>
    <sheet xmlns:r="http://schemas.openxmlformats.org/officeDocument/2006/relationships" name="Paramètres" sheetId="2" state="visible" r:id="rId2"/>
    <sheet xmlns:r="http://schemas.openxmlformats.org/officeDocument/2006/relationships" name="Employés" sheetId="3" state="visible" r:id="rId3"/>
    <sheet xmlns:r="http://schemas.openxmlformats.org/officeDocument/2006/relationships" name="Bilan annuel" sheetId="4" state="visible" r:id="rId4"/>
    <sheet xmlns:r="http://schemas.openxmlformats.org/officeDocument/2006/relationships" name="Janvier" sheetId="5" state="visible" r:id="rId5"/>
    <sheet xmlns:r="http://schemas.openxmlformats.org/officeDocument/2006/relationships" name="Février" sheetId="6" state="visible" r:id="rId6"/>
    <sheet xmlns:r="http://schemas.openxmlformats.org/officeDocument/2006/relationships" name="Mars" sheetId="7" state="visible" r:id="rId7"/>
    <sheet xmlns:r="http://schemas.openxmlformats.org/officeDocument/2006/relationships" name="Avril" sheetId="8" state="visible" r:id="rId8"/>
    <sheet xmlns:r="http://schemas.openxmlformats.org/officeDocument/2006/relationships" name="Mai" sheetId="9" state="visible" r:id="rId9"/>
    <sheet xmlns:r="http://schemas.openxmlformats.org/officeDocument/2006/relationships" name="Juin" sheetId="10" state="visible" r:id="rId10"/>
    <sheet xmlns:r="http://schemas.openxmlformats.org/officeDocument/2006/relationships" name="Juillet" sheetId="11" state="visible" r:id="rId11"/>
    <sheet xmlns:r="http://schemas.openxmlformats.org/officeDocument/2006/relationships" name="Août" sheetId="12" state="visible" r:id="rId12"/>
    <sheet xmlns:r="http://schemas.openxmlformats.org/officeDocument/2006/relationships" name="Septembre" sheetId="13" state="visible" r:id="rId13"/>
    <sheet xmlns:r="http://schemas.openxmlformats.org/officeDocument/2006/relationships" name="Octobre" sheetId="14" state="visible" r:id="rId14"/>
    <sheet xmlns:r="http://schemas.openxmlformats.org/officeDocument/2006/relationships" name="Novembre" sheetId="15" state="visible" r:id="rId15"/>
    <sheet xmlns:r="http://schemas.openxmlformats.org/officeDocument/2006/relationships" name="Décembre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 ##0"/>
  </numFmts>
  <fonts count="23">
    <font>
      <name val="Calibri"/>
      <family val="2"/>
      <color theme="1"/>
      <sz val="11"/>
      <scheme val="minor"/>
    </font>
    <font>
      <name val="Arial"/>
      <b val="1"/>
      <color rgb="00FFFFFF"/>
      <sz val="18"/>
    </font>
    <font>
      <name val="Arial"/>
      <color rgb="00CFE3FF"/>
      <sz val="10"/>
    </font>
    <font>
      <name val="Arial"/>
      <b val="1"/>
      <color rgb="001E6FD9"/>
    </font>
    <font>
      <name val="Arial"/>
    </font>
    <font>
      <name val="Arial"/>
      <b val="1"/>
      <color rgb="000F2A4A"/>
    </font>
    <font>
      <name val="Arial"/>
      <b val="1"/>
      <color rgb="00166534"/>
    </font>
    <font>
      <name val="Arial"/>
      <b val="1"/>
      <color rgb="0092400E"/>
    </font>
    <font>
      <name val="Arial"/>
      <b val="1"/>
      <color rgb="00B91C1C"/>
    </font>
    <font>
      <name val="Arial"/>
      <b val="1"/>
      <color rgb="001E40AF"/>
    </font>
    <font>
      <name val="Arial"/>
      <b val="1"/>
      <color rgb="006D28D9"/>
    </font>
    <font>
      <name val="Arial"/>
      <i val="1"/>
      <color rgb="00555555"/>
    </font>
    <font>
      <name val="Arial"/>
      <b val="1"/>
      <sz val="12"/>
    </font>
    <font>
      <name val="Arial"/>
      <b val="1"/>
      <color rgb="00FFFFFF"/>
    </font>
    <font>
      <name val="Arial"/>
      <b val="1"/>
      <color rgb="00166534"/>
      <sz val="9"/>
    </font>
    <font>
      <name val="Arial"/>
      <b val="1"/>
      <color rgb="0092400E"/>
      <sz val="9"/>
    </font>
    <font>
      <name val="Arial"/>
      <b val="1"/>
      <color rgb="00B91C1C"/>
      <sz val="9"/>
    </font>
    <font>
      <name val="Arial"/>
      <b val="1"/>
      <color rgb="001E40AF"/>
      <sz val="9"/>
    </font>
    <font>
      <name val="Arial"/>
      <b val="1"/>
      <color rgb="006D28D9"/>
      <sz val="9"/>
    </font>
    <font>
      <name val="Arial"/>
      <b val="1"/>
      <color rgb="00FFFFFF"/>
      <sz val="9"/>
    </font>
    <font>
      <name val="Arial"/>
      <sz val="10"/>
    </font>
    <font>
      <name val="Arial"/>
      <b val="1"/>
      <sz val="10"/>
    </font>
    <font>
      <name val="Arial"/>
      <b val="1"/>
    </font>
  </fonts>
  <fills count="12">
    <fill>
      <patternFill/>
    </fill>
    <fill>
      <patternFill patternType="gray125"/>
    </fill>
    <fill>
      <patternFill patternType="solid">
        <fgColor rgb="000F2A4A"/>
        <bgColor rgb="000F2A4A"/>
      </patternFill>
    </fill>
    <fill>
      <patternFill patternType="solid">
        <fgColor rgb="00D1F7E0"/>
        <bgColor rgb="00D1F7E0"/>
      </patternFill>
    </fill>
    <fill>
      <patternFill patternType="solid">
        <fgColor rgb="00FEF3C7"/>
        <bgColor rgb="00FEF3C7"/>
      </patternFill>
    </fill>
    <fill>
      <patternFill patternType="solid">
        <fgColor rgb="00FEE2E2"/>
        <bgColor rgb="00FEE2E2"/>
      </patternFill>
    </fill>
    <fill>
      <patternFill patternType="solid">
        <fgColor rgb="00DBEAFE"/>
        <bgColor rgb="00DBEAFE"/>
      </patternFill>
    </fill>
    <fill>
      <patternFill patternType="solid">
        <fgColor rgb="00EDE9FE"/>
        <bgColor rgb="00EDE9FE"/>
      </patternFill>
    </fill>
    <fill>
      <patternFill patternType="solid">
        <fgColor rgb="00FFF7D6"/>
        <bgColor rgb="00FFF7D6"/>
      </patternFill>
    </fill>
    <fill>
      <patternFill patternType="solid">
        <fgColor rgb="001E6FD9"/>
        <bgColor rgb="001E6FD9"/>
      </patternFill>
    </fill>
    <fill>
      <patternFill patternType="solid">
        <fgColor rgb="00F3F5F9"/>
        <bgColor rgb="00F3F5F9"/>
      </patternFill>
    </fill>
    <fill>
      <patternFill patternType="solid">
        <fgColor rgb="00EEF4FF"/>
        <bgColor rgb="00EEF4FF"/>
      </patternFill>
    </fill>
  </fills>
  <borders count="2">
    <border>
      <left/>
      <right/>
      <top/>
      <bottom/>
      <diagonal/>
    </border>
    <border>
      <left style="thin">
        <color rgb="00D5DBE5"/>
      </left>
      <right style="thin">
        <color rgb="00D5DBE5"/>
      </right>
      <top style="thin">
        <color rgb="00D5DBE5"/>
      </top>
      <bottom style="thin">
        <color rgb="00D5DBE5"/>
      </bottom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0" fillId="2" borderId="0" pivotButton="0" quotePrefix="0" xfId="0"/>
    <xf numFmtId="0" fontId="2" fillId="2" borderId="0" applyAlignment="1" pivotButton="0" quotePrefix="0" xfId="0">
      <alignment horizontal="left" vertical="center" indent="1"/>
    </xf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3" borderId="0" applyAlignment="1" pivotButton="0" quotePrefix="0" xfId="0">
      <alignment horizontal="center" vertical="center"/>
    </xf>
    <xf numFmtId="0" fontId="7" fillId="4" borderId="0" applyAlignment="1" pivotButton="0" quotePrefix="0" xfId="0">
      <alignment horizontal="center" vertical="center"/>
    </xf>
    <xf numFmtId="0" fontId="8" fillId="5" borderId="0" applyAlignment="1" pivotButton="0" quotePrefix="0" xfId="0">
      <alignment horizontal="center" vertical="center"/>
    </xf>
    <xf numFmtId="0" fontId="9" fillId="6" borderId="0" applyAlignment="1" pivotButton="0" quotePrefix="0" xfId="0">
      <alignment horizontal="center" vertical="center"/>
    </xf>
    <xf numFmtId="0" fontId="10" fillId="7" borderId="0" applyAlignment="1" pivotButton="0" quotePrefix="0" xfId="0">
      <alignment horizontal="center" vertical="center"/>
    </xf>
    <xf numFmtId="0" fontId="11" fillId="0" borderId="0" applyAlignment="1" pivotButton="0" quotePrefix="0" xfId="0">
      <alignment vertical="top" wrapText="1"/>
    </xf>
    <xf numFmtId="0" fontId="12" fillId="8" borderId="1" pivotButton="0" quotePrefix="0" xfId="0"/>
    <xf numFmtId="0" fontId="13" fillId="9" borderId="0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0" borderId="1" pivotButton="0" quotePrefix="0" xfId="0"/>
    <xf numFmtId="164" fontId="4" fillId="0" borderId="1" pivotButton="0" quotePrefix="0" xfId="0"/>
    <xf numFmtId="0" fontId="4" fillId="10" borderId="1" applyAlignment="1" pivotButton="0" quotePrefix="0" xfId="0">
      <alignment horizontal="center" vertical="center"/>
    </xf>
    <xf numFmtId="0" fontId="4" fillId="10" borderId="1" pivotButton="0" quotePrefix="0" xfId="0"/>
    <xf numFmtId="164" fontId="4" fillId="10" borderId="1" pivotButton="0" quotePrefix="0" xfId="0"/>
    <xf numFmtId="0" fontId="13" fillId="9" borderId="0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indent="1"/>
    </xf>
    <xf numFmtId="0" fontId="22" fillId="0" borderId="1" applyAlignment="1" pivotButton="0" quotePrefix="0" xfId="0">
      <alignment horizontal="center" vertical="center"/>
    </xf>
    <xf numFmtId="9" fontId="22" fillId="0" borderId="1" applyAlignment="1" pivotButton="0" quotePrefix="0" xfId="0">
      <alignment horizontal="center" vertical="center"/>
    </xf>
    <xf numFmtId="164" fontId="22" fillId="0" borderId="1" applyAlignment="1" pivotButton="0" quotePrefix="0" xfId="0">
      <alignment horizontal="center" vertical="center"/>
    </xf>
    <xf numFmtId="0" fontId="4" fillId="10" borderId="1" applyAlignment="1" pivotButton="0" quotePrefix="0" xfId="0">
      <alignment horizontal="left" vertical="center" indent="1"/>
    </xf>
    <xf numFmtId="0" fontId="22" fillId="10" borderId="1" applyAlignment="1" pivotButton="0" quotePrefix="0" xfId="0">
      <alignment horizontal="center" vertical="center"/>
    </xf>
    <xf numFmtId="9" fontId="22" fillId="10" borderId="1" applyAlignment="1" pivotButton="0" quotePrefix="0" xfId="0">
      <alignment horizontal="center" vertical="center"/>
    </xf>
    <xf numFmtId="164" fontId="22" fillId="10" borderId="1" applyAlignment="1" pivotButton="0" quotePrefix="0" xfId="0">
      <alignment horizontal="center" vertical="center"/>
    </xf>
    <xf numFmtId="0" fontId="14" fillId="3" borderId="0" applyAlignment="1" pivotButton="0" quotePrefix="0" xfId="0">
      <alignment horizontal="center" vertical="center"/>
    </xf>
    <xf numFmtId="0" fontId="15" fillId="4" borderId="0" applyAlignment="1" pivotButton="0" quotePrefix="0" xfId="0">
      <alignment horizontal="center" vertical="center"/>
    </xf>
    <xf numFmtId="0" fontId="16" fillId="5" borderId="0" applyAlignment="1" pivotButton="0" quotePrefix="0" xfId="0">
      <alignment horizontal="center" vertical="center"/>
    </xf>
    <xf numFmtId="0" fontId="17" fillId="6" borderId="0" applyAlignment="1" pivotButton="0" quotePrefix="0" xfId="0">
      <alignment horizontal="center" vertical="center"/>
    </xf>
    <xf numFmtId="0" fontId="18" fillId="7" borderId="0" applyAlignment="1" pivotButton="0" quotePrefix="0" xfId="0">
      <alignment horizontal="center" vertical="center"/>
    </xf>
    <xf numFmtId="0" fontId="19" fillId="9" borderId="1" applyAlignment="1" pivotButton="0" quotePrefix="0" xfId="0">
      <alignment horizontal="center" vertical="center" wrapText="1"/>
    </xf>
    <xf numFmtId="0" fontId="19" fillId="2" borderId="1" applyAlignment="1" pivotButton="0" quotePrefix="0" xfId="0">
      <alignment horizontal="center" vertical="center" wrapText="1"/>
    </xf>
    <xf numFmtId="0" fontId="20" fillId="0" borderId="1" applyAlignment="1" pivotButton="0" quotePrefix="0" xfId="0">
      <alignment horizontal="center" vertical="center"/>
    </xf>
    <xf numFmtId="0" fontId="20" fillId="0" borderId="1" applyAlignment="1" pivotButton="0" quotePrefix="0" xfId="0">
      <alignment horizontal="left" vertical="center" indent="1"/>
    </xf>
    <xf numFmtId="0" fontId="21" fillId="11" borderId="1" applyAlignment="1" pivotButton="0" quotePrefix="0" xfId="0">
      <alignment horizontal="center" vertical="center"/>
    </xf>
    <xf numFmtId="9" fontId="21" fillId="11" borderId="1" applyAlignment="1" pivotButton="0" quotePrefix="0" xfId="0">
      <alignment horizontal="center" vertical="center"/>
    </xf>
    <xf numFmtId="164" fontId="21" fillId="11" borderId="1" applyAlignment="1" pivotButton="0" quotePrefix="0" xfId="0">
      <alignment horizontal="center" vertical="center"/>
    </xf>
    <xf numFmtId="0" fontId="13" fillId="2" borderId="1" applyAlignment="1" pivotButton="0" quotePrefix="0" xfId="0">
      <alignment horizontal="center" vertical="center"/>
    </xf>
    <xf numFmtId="164" fontId="13" fillId="2" borderId="1" applyAlignment="1" pivotButton="0" quotePrefix="0" xfId="0">
      <alignment horizontal="center" vertical="center"/>
    </xf>
  </cellXfs>
  <cellStyles count="1">
    <cellStyle name="Normal" xfId="0" builtinId="0" hidden="0"/>
  </cellStyles>
  <dxfs count="6">
    <dxf>
      <font>
        <b val="1"/>
        <color rgb="00166534"/>
      </font>
      <fill>
        <patternFill patternType="solid">
          <fgColor rgb="00D1F7E0"/>
          <bgColor rgb="00D1F7E0"/>
        </patternFill>
      </fill>
    </dxf>
    <dxf>
      <font>
        <b val="1"/>
        <color rgb="0092400E"/>
      </font>
      <fill>
        <patternFill patternType="solid">
          <fgColor rgb="00FEF3C7"/>
          <bgColor rgb="00FEF3C7"/>
        </patternFill>
      </fill>
    </dxf>
    <dxf>
      <font>
        <b val="1"/>
        <color rgb="00B91C1C"/>
      </font>
      <fill>
        <patternFill patternType="solid">
          <fgColor rgb="00FEE2E2"/>
          <bgColor rgb="00FEE2E2"/>
        </patternFill>
      </fill>
    </dxf>
    <dxf>
      <font>
        <b val="1"/>
        <color rgb="001E40AF"/>
      </font>
      <fill>
        <patternFill patternType="solid">
          <fgColor rgb="00DBEAFE"/>
          <bgColor rgb="00DBEAFE"/>
        </patternFill>
      </fill>
    </dxf>
    <dxf>
      <font>
        <b val="1"/>
        <color rgb="006D28D9"/>
      </font>
      <fill>
        <patternFill patternType="solid">
          <fgColor rgb="00EDE9FE"/>
          <bgColor rgb="00EDE9FE"/>
        </patternFill>
      </fill>
    </dxf>
    <dxf>
      <fill>
        <patternFill patternType="solid">
          <fgColor rgb="00E7EAF0"/>
          <bgColor rgb="00E7EAF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70" customWidth="1" min="3" max="3"/>
  </cols>
  <sheetData>
    <row r="1" ht="34" customHeight="1">
      <c r="A1" s="1" t="inlineStr">
        <is>
          <t>Pointage du personnel</t>
        </is>
      </c>
      <c r="B1" s="2" t="n"/>
      <c r="C1" s="2" t="n"/>
      <c r="D1" s="2" t="n"/>
      <c r="E1" s="2" t="n"/>
      <c r="F1" s="2" t="n"/>
    </row>
    <row r="2" ht="20" customHeight="1">
      <c r="A2" s="3" t="inlineStr">
        <is>
          <t>Outil offert par Logia (DWTS) · Un logiciel sur mesure pour votre entreprise ? WhatsApp 062 67 14 45</t>
        </is>
      </c>
      <c r="B2" s="2" t="n"/>
      <c r="C2" s="2" t="n"/>
      <c r="D2" s="2" t="n"/>
      <c r="E2" s="2" t="n"/>
      <c r="F2" s="2" t="n"/>
    </row>
    <row r="4">
      <c r="B4" s="4" t="inlineStr">
        <is>
          <t>1. Paramètres</t>
        </is>
      </c>
      <c r="C4" s="5" t="inlineStr">
        <is>
          <t>Écrivez le nom de votre entreprise et l'année.</t>
        </is>
      </c>
    </row>
    <row r="5">
      <c r="B5" s="4" t="inlineStr">
        <is>
          <t>2. Employés</t>
        </is>
      </c>
      <c r="C5" s="5" t="inlineStr">
        <is>
          <t>Listez vos employés (jusqu'à 30) et, si vous voulez, leur salaire par jour.</t>
        </is>
      </c>
    </row>
    <row r="6">
      <c r="B6" s="4" t="inlineStr">
        <is>
          <t>3. Pointage</t>
        </is>
      </c>
      <c r="C6" s="5" t="inlineStr">
        <is>
          <t>Chaque jour, ouvrez le mois et choisissez un code dans la case : P, R, A, C ou M.</t>
        </is>
      </c>
    </row>
    <row r="7">
      <c r="B7" s="4" t="inlineStr">
        <is>
          <t>4. Totaux</t>
        </is>
      </c>
      <c r="C7" s="5" t="inlineStr">
        <is>
          <t>Les présences, absences, taux de présence et salaire dû se calculent seuls.</t>
        </is>
      </c>
    </row>
    <row r="8">
      <c r="B8" s="4" t="inlineStr">
        <is>
          <t>5. Bilan annuel</t>
        </is>
      </c>
      <c r="C8" s="5" t="inlineStr">
        <is>
          <t>Le total de l'année par employé, sans rien faire.</t>
        </is>
      </c>
    </row>
    <row r="10">
      <c r="B10" s="6" t="inlineStr">
        <is>
          <t>Codes</t>
        </is>
      </c>
    </row>
    <row r="11">
      <c r="B11" s="7" t="inlineStr">
        <is>
          <t>P</t>
        </is>
      </c>
      <c r="C11" s="5" t="inlineStr">
        <is>
          <t>Présent</t>
        </is>
      </c>
    </row>
    <row r="12">
      <c r="B12" s="8" t="inlineStr">
        <is>
          <t>R</t>
        </is>
      </c>
      <c r="C12" s="5" t="inlineStr">
        <is>
          <t>En retard</t>
        </is>
      </c>
    </row>
    <row r="13">
      <c r="B13" s="9" t="inlineStr">
        <is>
          <t>A</t>
        </is>
      </c>
      <c r="C13" s="5" t="inlineStr">
        <is>
          <t>Absent</t>
        </is>
      </c>
    </row>
    <row r="14">
      <c r="B14" s="10" t="inlineStr">
        <is>
          <t>C</t>
        </is>
      </c>
      <c r="C14" s="5" t="inlineStr">
        <is>
          <t>Congé</t>
        </is>
      </c>
    </row>
    <row r="15">
      <c r="B15" s="11" t="inlineStr">
        <is>
          <t>M</t>
        </is>
      </c>
      <c r="C15" s="5" t="inlineStr">
        <is>
          <t>Malade</t>
        </is>
      </c>
    </row>
    <row r="17" ht="32" customHeight="1">
      <c r="B17" s="12" t="inlineStr">
        <is>
          <t>Salaire dû = (jours présents + en retard + congés) × salaire par jour. Les absences et jours de maladie ne sont pas payés : modifiez la formule si votre règle est différente.</t>
        </is>
      </c>
    </row>
  </sheetData>
  <mergeCells count="3">
    <mergeCell ref="A2:F2"/>
    <mergeCell ref="A1:F1"/>
    <mergeCell ref="B17:C1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26" customWidth="1" min="1" max="1"/>
    <col width="34" customWidth="1" min="2" max="2"/>
  </cols>
  <sheetData>
    <row r="1" ht="34" customHeight="1">
      <c r="A1" s="1" t="inlineStr">
        <is>
          <t>Paramètres</t>
        </is>
      </c>
      <c r="B1" s="2" t="n"/>
      <c r="C1" s="2" t="n"/>
      <c r="D1" s="2" t="n"/>
    </row>
    <row r="2" ht="20" customHeight="1">
      <c r="A2" s="3" t="inlineStr">
        <is>
          <t>Outil offert par Logia (DWTS) · Un logiciel sur mesure pour votre entreprise ? WhatsApp 062 67 14 45</t>
        </is>
      </c>
      <c r="B2" s="2" t="n"/>
      <c r="C2" s="2" t="n"/>
      <c r="D2" s="2" t="n"/>
    </row>
    <row r="4">
      <c r="A4" s="6" t="inlineStr">
        <is>
          <t>Nom de l'entreprise</t>
        </is>
      </c>
      <c r="B4" s="13" t="inlineStr">
        <is>
          <t>Mon entreprise</t>
        </is>
      </c>
    </row>
    <row r="5">
      <c r="A5" s="6" t="inlineStr">
        <is>
          <t>Année</t>
        </is>
      </c>
      <c r="B5" s="13" t="n">
        <v>2026</v>
      </c>
    </row>
    <row r="6">
      <c r="A6" s="6" t="inlineStr">
        <is>
          <t>Devise</t>
        </is>
      </c>
      <c r="B6" s="13" t="inlineStr">
        <is>
          <t>XAF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30" customWidth="1" min="2" max="2"/>
    <col width="22" customWidth="1" min="3" max="3"/>
    <col width="18" customWidth="1" min="4" max="4"/>
  </cols>
  <sheetData>
    <row r="1" ht="34" customHeight="1">
      <c r="A1" s="1" t="inlineStr">
        <is>
          <t>Employés</t>
        </is>
      </c>
      <c r="B1" s="2" t="n"/>
      <c r="C1" s="2" t="n"/>
      <c r="D1" s="2" t="n"/>
    </row>
    <row r="2" ht="20" customHeight="1">
      <c r="A2" s="3" t="inlineStr">
        <is>
          <t>Outil offert par Logia (DWTS) · Un logiciel sur mesure pour votre entreprise ? WhatsApp 062 67 14 45</t>
        </is>
      </c>
      <c r="B2" s="2" t="n"/>
      <c r="C2" s="2" t="n"/>
      <c r="D2" s="2" t="n"/>
    </row>
    <row r="4">
      <c r="A4" s="14" t="inlineStr">
        <is>
          <t>ID</t>
        </is>
      </c>
      <c r="B4" s="14" t="inlineStr">
        <is>
          <t>Nom et prénom</t>
        </is>
      </c>
      <c r="C4" s="14" t="inlineStr">
        <is>
          <t>Poste</t>
        </is>
      </c>
      <c r="D4" s="14" t="inlineStr">
        <is>
          <t>Salaire par jour</t>
        </is>
      </c>
    </row>
    <row r="5">
      <c r="A5" s="15" t="inlineStr">
        <is>
          <t>E001</t>
        </is>
      </c>
      <c r="B5" s="16" t="inlineStr">
        <is>
          <t>Jean Paul</t>
        </is>
      </c>
      <c r="C5" s="16" t="inlineStr">
        <is>
          <t>Vendeur</t>
        </is>
      </c>
      <c r="D5" s="17" t="n">
        <v>5000</v>
      </c>
    </row>
    <row r="6">
      <c r="A6" s="18" t="inlineStr">
        <is>
          <t>E002</t>
        </is>
      </c>
      <c r="B6" s="19" t="inlineStr">
        <is>
          <t>Marie Nzé</t>
        </is>
      </c>
      <c r="C6" s="19" t="inlineStr">
        <is>
          <t>Caissière</t>
        </is>
      </c>
      <c r="D6" s="20" t="n">
        <v>5000</v>
      </c>
    </row>
    <row r="7">
      <c r="A7" s="15" t="inlineStr">
        <is>
          <t>E003</t>
        </is>
      </c>
      <c r="B7" s="16" t="n"/>
      <c r="C7" s="16" t="n"/>
      <c r="D7" s="17" t="n"/>
    </row>
    <row r="8">
      <c r="A8" s="18" t="inlineStr">
        <is>
          <t>E004</t>
        </is>
      </c>
      <c r="B8" s="19" t="n"/>
      <c r="C8" s="19" t="n"/>
      <c r="D8" s="20" t="n"/>
    </row>
    <row r="9">
      <c r="A9" s="15" t="inlineStr">
        <is>
          <t>E005</t>
        </is>
      </c>
      <c r="B9" s="16" t="n"/>
      <c r="C9" s="16" t="n"/>
      <c r="D9" s="17" t="n"/>
    </row>
    <row r="10">
      <c r="A10" s="18" t="inlineStr">
        <is>
          <t>E006</t>
        </is>
      </c>
      <c r="B10" s="19" t="n"/>
      <c r="C10" s="19" t="n"/>
      <c r="D10" s="20" t="n"/>
    </row>
    <row r="11">
      <c r="A11" s="15" t="inlineStr">
        <is>
          <t>E007</t>
        </is>
      </c>
      <c r="B11" s="16" t="n"/>
      <c r="C11" s="16" t="n"/>
      <c r="D11" s="17" t="n"/>
    </row>
    <row r="12">
      <c r="A12" s="18" t="inlineStr">
        <is>
          <t>E008</t>
        </is>
      </c>
      <c r="B12" s="19" t="n"/>
      <c r="C12" s="19" t="n"/>
      <c r="D12" s="20" t="n"/>
    </row>
    <row r="13">
      <c r="A13" s="15" t="inlineStr">
        <is>
          <t>E009</t>
        </is>
      </c>
      <c r="B13" s="16" t="n"/>
      <c r="C13" s="16" t="n"/>
      <c r="D13" s="17" t="n"/>
    </row>
    <row r="14">
      <c r="A14" s="18" t="inlineStr">
        <is>
          <t>E010</t>
        </is>
      </c>
      <c r="B14" s="19" t="n"/>
      <c r="C14" s="19" t="n"/>
      <c r="D14" s="20" t="n"/>
    </row>
    <row r="15">
      <c r="A15" s="15" t="inlineStr">
        <is>
          <t>E011</t>
        </is>
      </c>
      <c r="B15" s="16" t="n"/>
      <c r="C15" s="16" t="n"/>
      <c r="D15" s="17" t="n"/>
    </row>
    <row r="16">
      <c r="A16" s="18" t="inlineStr">
        <is>
          <t>E012</t>
        </is>
      </c>
      <c r="B16" s="19" t="n"/>
      <c r="C16" s="19" t="n"/>
      <c r="D16" s="20" t="n"/>
    </row>
    <row r="17">
      <c r="A17" s="15" t="inlineStr">
        <is>
          <t>E013</t>
        </is>
      </c>
      <c r="B17" s="16" t="n"/>
      <c r="C17" s="16" t="n"/>
      <c r="D17" s="17" t="n"/>
    </row>
    <row r="18">
      <c r="A18" s="18" t="inlineStr">
        <is>
          <t>E014</t>
        </is>
      </c>
      <c r="B18" s="19" t="n"/>
      <c r="C18" s="19" t="n"/>
      <c r="D18" s="20" t="n"/>
    </row>
    <row r="19">
      <c r="A19" s="15" t="inlineStr">
        <is>
          <t>E015</t>
        </is>
      </c>
      <c r="B19" s="16" t="n"/>
      <c r="C19" s="16" t="n"/>
      <c r="D19" s="17" t="n"/>
    </row>
    <row r="20">
      <c r="A20" s="18" t="inlineStr">
        <is>
          <t>E016</t>
        </is>
      </c>
      <c r="B20" s="19" t="n"/>
      <c r="C20" s="19" t="n"/>
      <c r="D20" s="20" t="n"/>
    </row>
    <row r="21">
      <c r="A21" s="15" t="inlineStr">
        <is>
          <t>E017</t>
        </is>
      </c>
      <c r="B21" s="16" t="n"/>
      <c r="C21" s="16" t="n"/>
      <c r="D21" s="17" t="n"/>
    </row>
    <row r="22">
      <c r="A22" s="18" t="inlineStr">
        <is>
          <t>E018</t>
        </is>
      </c>
      <c r="B22" s="19" t="n"/>
      <c r="C22" s="19" t="n"/>
      <c r="D22" s="20" t="n"/>
    </row>
    <row r="23">
      <c r="A23" s="15" t="inlineStr">
        <is>
          <t>E019</t>
        </is>
      </c>
      <c r="B23" s="16" t="n"/>
      <c r="C23" s="16" t="n"/>
      <c r="D23" s="17" t="n"/>
    </row>
    <row r="24">
      <c r="A24" s="18" t="inlineStr">
        <is>
          <t>E020</t>
        </is>
      </c>
      <c r="B24" s="19" t="n"/>
      <c r="C24" s="19" t="n"/>
      <c r="D24" s="20" t="n"/>
    </row>
    <row r="25">
      <c r="A25" s="15" t="inlineStr">
        <is>
          <t>E021</t>
        </is>
      </c>
      <c r="B25" s="16" t="n"/>
      <c r="C25" s="16" t="n"/>
      <c r="D25" s="17" t="n"/>
    </row>
    <row r="26">
      <c r="A26" s="18" t="inlineStr">
        <is>
          <t>E022</t>
        </is>
      </c>
      <c r="B26" s="19" t="n"/>
      <c r="C26" s="19" t="n"/>
      <c r="D26" s="20" t="n"/>
    </row>
    <row r="27">
      <c r="A27" s="15" t="inlineStr">
        <is>
          <t>E023</t>
        </is>
      </c>
      <c r="B27" s="16" t="n"/>
      <c r="C27" s="16" t="n"/>
      <c r="D27" s="17" t="n"/>
    </row>
    <row r="28">
      <c r="A28" s="18" t="inlineStr">
        <is>
          <t>E024</t>
        </is>
      </c>
      <c r="B28" s="19" t="n"/>
      <c r="C28" s="19" t="n"/>
      <c r="D28" s="20" t="n"/>
    </row>
    <row r="29">
      <c r="A29" s="15" t="inlineStr">
        <is>
          <t>E025</t>
        </is>
      </c>
      <c r="B29" s="16" t="n"/>
      <c r="C29" s="16" t="n"/>
      <c r="D29" s="17" t="n"/>
    </row>
    <row r="30">
      <c r="A30" s="18" t="inlineStr">
        <is>
          <t>E026</t>
        </is>
      </c>
      <c r="B30" s="19" t="n"/>
      <c r="C30" s="19" t="n"/>
      <c r="D30" s="20" t="n"/>
    </row>
    <row r="31">
      <c r="A31" s="15" t="inlineStr">
        <is>
          <t>E027</t>
        </is>
      </c>
      <c r="B31" s="16" t="n"/>
      <c r="C31" s="16" t="n"/>
      <c r="D31" s="17" t="n"/>
    </row>
    <row r="32">
      <c r="A32" s="18" t="inlineStr">
        <is>
          <t>E028</t>
        </is>
      </c>
      <c r="B32" s="19" t="n"/>
      <c r="C32" s="19" t="n"/>
      <c r="D32" s="20" t="n"/>
    </row>
    <row r="33">
      <c r="A33" s="15" t="inlineStr">
        <is>
          <t>E029</t>
        </is>
      </c>
      <c r="B33" s="16" t="n"/>
      <c r="C33" s="16" t="n"/>
      <c r="D33" s="17" t="n"/>
    </row>
    <row r="34">
      <c r="A34" s="18" t="inlineStr">
        <is>
          <t>E030</t>
        </is>
      </c>
      <c r="B34" s="19" t="n"/>
      <c r="C34" s="19" t="n"/>
      <c r="D34" s="20" t="n"/>
    </row>
  </sheetData>
  <mergeCells count="2">
    <mergeCell ref="A1:D1"/>
    <mergeCell ref="A2:D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26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4" customWidth="1" min="8" max="8"/>
    <col width="16" customWidth="1" min="9" max="9"/>
  </cols>
  <sheetData>
    <row r="1" ht="34" customHeight="1">
      <c r="A1" s="1">
        <f>'Paramètres'!$B$4&amp;" · Bilan annuel "&amp;'Paramètres'!$B$5</f>
        <v/>
      </c>
      <c r="B1" s="2" t="n"/>
      <c r="C1" s="2" t="n"/>
      <c r="D1" s="2" t="n"/>
      <c r="E1" s="2" t="n"/>
      <c r="F1" s="2" t="n"/>
      <c r="G1" s="2" t="n"/>
      <c r="H1" s="2" t="n"/>
      <c r="I1" s="2" t="n"/>
    </row>
    <row r="2" ht="20" customHeight="1">
      <c r="A2" s="3" t="inlineStr">
        <is>
          <t>Outil offert par Logia (DWTS) · Un logiciel sur mesure pour votre entreprise ? WhatsApp 062 67 14 45</t>
        </is>
      </c>
      <c r="B2" s="2" t="n"/>
      <c r="C2" s="2" t="n"/>
      <c r="D2" s="2" t="n"/>
      <c r="E2" s="2" t="n"/>
      <c r="F2" s="2" t="n"/>
      <c r="G2" s="2" t="n"/>
      <c r="H2" s="2" t="n"/>
      <c r="I2" s="2" t="n"/>
    </row>
    <row r="4" ht="30" customHeight="1">
      <c r="A4" s="21" t="inlineStr">
        <is>
          <t>ID</t>
        </is>
      </c>
      <c r="B4" s="21" t="inlineStr">
        <is>
          <t>Nom</t>
        </is>
      </c>
      <c r="C4" s="21" t="inlineStr">
        <is>
          <t>Présent</t>
        </is>
      </c>
      <c r="D4" s="21" t="inlineStr">
        <is>
          <t>Retard</t>
        </is>
      </c>
      <c r="E4" s="21" t="inlineStr">
        <is>
          <t>Absent</t>
        </is>
      </c>
      <c r="F4" s="21" t="inlineStr">
        <is>
          <t>Congé</t>
        </is>
      </c>
      <c r="G4" s="21" t="inlineStr">
        <is>
          <t>Malade</t>
        </is>
      </c>
      <c r="H4" s="21" t="inlineStr">
        <is>
          <t>Taux de présence</t>
        </is>
      </c>
      <c r="I4" s="21" t="inlineStr">
        <is>
          <t>Salaire dû</t>
        </is>
      </c>
    </row>
    <row r="5">
      <c r="A5" s="15">
        <f>IF('Employés'!B5="","",'Employés'!A5)</f>
        <v/>
      </c>
      <c r="B5" s="22">
        <f>IF('Employés'!B5="","",'Employés'!B5)</f>
        <v/>
      </c>
      <c r="C5" s="23">
        <f>IF($B5="","",N('Janvier'!AI7)+N('Février'!AI7)+N('Mars'!AI7)+N('Avril'!AI7)+N('Mai'!AI7)+N('Juin'!AI7)+N('Juillet'!AI7)+N('Août'!AI7)+N('Septembre'!AI7)+N('Octobre'!AI7)+N('Novembre'!AI7)+N('Décembre'!AI7))</f>
        <v/>
      </c>
      <c r="D5" s="23">
        <f>IF($B5="","",N('Janvier'!AJ7)+N('Février'!AJ7)+N('Mars'!AJ7)+N('Avril'!AJ7)+N('Mai'!AJ7)+N('Juin'!AJ7)+N('Juillet'!AJ7)+N('Août'!AJ7)+N('Septembre'!AJ7)+N('Octobre'!AJ7)+N('Novembre'!AJ7)+N('Décembre'!AJ7))</f>
        <v/>
      </c>
      <c r="E5" s="23">
        <f>IF($B5="","",N('Janvier'!AK7)+N('Février'!AK7)+N('Mars'!AK7)+N('Avril'!AK7)+N('Mai'!AK7)+N('Juin'!AK7)+N('Juillet'!AK7)+N('Août'!AK7)+N('Septembre'!AK7)+N('Octobre'!AK7)+N('Novembre'!AK7)+N('Décembre'!AK7))</f>
        <v/>
      </c>
      <c r="F5" s="23">
        <f>IF($B5="","",N('Janvier'!AL7)+N('Février'!AL7)+N('Mars'!AL7)+N('Avril'!AL7)+N('Mai'!AL7)+N('Juin'!AL7)+N('Juillet'!AL7)+N('Août'!AL7)+N('Septembre'!AL7)+N('Octobre'!AL7)+N('Novembre'!AL7)+N('Décembre'!AL7))</f>
        <v/>
      </c>
      <c r="G5" s="23">
        <f>IF($B5="","",N('Janvier'!AM7)+N('Février'!AM7)+N('Mars'!AM7)+N('Avril'!AM7)+N('Mai'!AM7)+N('Juin'!AM7)+N('Juillet'!AM7)+N('Août'!AM7)+N('Septembre'!AM7)+N('Octobre'!AM7)+N('Novembre'!AM7)+N('Décembre'!AM7))</f>
        <v/>
      </c>
      <c r="H5" s="24">
        <f>IF($B5="","",IF(C5+D5+E5+G5=0,"",(C5+D5)/(C5+D5+E5+G5)))</f>
        <v/>
      </c>
      <c r="I5" s="25">
        <f>IF($B5="","",N('Janvier'!AO7)+N('Février'!AO7)+N('Mars'!AO7)+N('Avril'!AO7)+N('Mai'!AO7)+N('Juin'!AO7)+N('Juillet'!AO7)+N('Août'!AO7)+N('Septembre'!AO7)+N('Octobre'!AO7)+N('Novembre'!AO7)+N('Décembre'!AO7))</f>
        <v/>
      </c>
    </row>
    <row r="6">
      <c r="A6" s="18">
        <f>IF('Employés'!B6="","",'Employés'!A6)</f>
        <v/>
      </c>
      <c r="B6" s="26">
        <f>IF('Employés'!B6="","",'Employés'!B6)</f>
        <v/>
      </c>
      <c r="C6" s="27">
        <f>IF($B6="","",N('Janvier'!AI8)+N('Février'!AI8)+N('Mars'!AI8)+N('Avril'!AI8)+N('Mai'!AI8)+N('Juin'!AI8)+N('Juillet'!AI8)+N('Août'!AI8)+N('Septembre'!AI8)+N('Octobre'!AI8)+N('Novembre'!AI8)+N('Décembre'!AI8))</f>
        <v/>
      </c>
      <c r="D6" s="27">
        <f>IF($B6="","",N('Janvier'!AJ8)+N('Février'!AJ8)+N('Mars'!AJ8)+N('Avril'!AJ8)+N('Mai'!AJ8)+N('Juin'!AJ8)+N('Juillet'!AJ8)+N('Août'!AJ8)+N('Septembre'!AJ8)+N('Octobre'!AJ8)+N('Novembre'!AJ8)+N('Décembre'!AJ8))</f>
        <v/>
      </c>
      <c r="E6" s="27">
        <f>IF($B6="","",N('Janvier'!AK8)+N('Février'!AK8)+N('Mars'!AK8)+N('Avril'!AK8)+N('Mai'!AK8)+N('Juin'!AK8)+N('Juillet'!AK8)+N('Août'!AK8)+N('Septembre'!AK8)+N('Octobre'!AK8)+N('Novembre'!AK8)+N('Décembre'!AK8))</f>
        <v/>
      </c>
      <c r="F6" s="27">
        <f>IF($B6="","",N('Janvier'!AL8)+N('Février'!AL8)+N('Mars'!AL8)+N('Avril'!AL8)+N('Mai'!AL8)+N('Juin'!AL8)+N('Juillet'!AL8)+N('Août'!AL8)+N('Septembre'!AL8)+N('Octobre'!AL8)+N('Novembre'!AL8)+N('Décembre'!AL8))</f>
        <v/>
      </c>
      <c r="G6" s="27">
        <f>IF($B6="","",N('Janvier'!AM8)+N('Février'!AM8)+N('Mars'!AM8)+N('Avril'!AM8)+N('Mai'!AM8)+N('Juin'!AM8)+N('Juillet'!AM8)+N('Août'!AM8)+N('Septembre'!AM8)+N('Octobre'!AM8)+N('Novembre'!AM8)+N('Décembre'!AM8))</f>
        <v/>
      </c>
      <c r="H6" s="28">
        <f>IF($B6="","",IF(C6+D6+E6+G6=0,"",(C6+D6)/(C6+D6+E6+G6)))</f>
        <v/>
      </c>
      <c r="I6" s="29">
        <f>IF($B6="","",N('Janvier'!AO8)+N('Février'!AO8)+N('Mars'!AO8)+N('Avril'!AO8)+N('Mai'!AO8)+N('Juin'!AO8)+N('Juillet'!AO8)+N('Août'!AO8)+N('Septembre'!AO8)+N('Octobre'!AO8)+N('Novembre'!AO8)+N('Décembre'!AO8))</f>
        <v/>
      </c>
    </row>
    <row r="7">
      <c r="A7" s="15">
        <f>IF('Employés'!B7="","",'Employés'!A7)</f>
        <v/>
      </c>
      <c r="B7" s="22">
        <f>IF('Employés'!B7="","",'Employés'!B7)</f>
        <v/>
      </c>
      <c r="C7" s="23">
        <f>IF($B7="","",N('Janvier'!AI9)+N('Février'!AI9)+N('Mars'!AI9)+N('Avril'!AI9)+N('Mai'!AI9)+N('Juin'!AI9)+N('Juillet'!AI9)+N('Août'!AI9)+N('Septembre'!AI9)+N('Octobre'!AI9)+N('Novembre'!AI9)+N('Décembre'!AI9))</f>
        <v/>
      </c>
      <c r="D7" s="23">
        <f>IF($B7="","",N('Janvier'!AJ9)+N('Février'!AJ9)+N('Mars'!AJ9)+N('Avril'!AJ9)+N('Mai'!AJ9)+N('Juin'!AJ9)+N('Juillet'!AJ9)+N('Août'!AJ9)+N('Septembre'!AJ9)+N('Octobre'!AJ9)+N('Novembre'!AJ9)+N('Décembre'!AJ9))</f>
        <v/>
      </c>
      <c r="E7" s="23">
        <f>IF($B7="","",N('Janvier'!AK9)+N('Février'!AK9)+N('Mars'!AK9)+N('Avril'!AK9)+N('Mai'!AK9)+N('Juin'!AK9)+N('Juillet'!AK9)+N('Août'!AK9)+N('Septembre'!AK9)+N('Octobre'!AK9)+N('Novembre'!AK9)+N('Décembre'!AK9))</f>
        <v/>
      </c>
      <c r="F7" s="23">
        <f>IF($B7="","",N('Janvier'!AL9)+N('Février'!AL9)+N('Mars'!AL9)+N('Avril'!AL9)+N('Mai'!AL9)+N('Juin'!AL9)+N('Juillet'!AL9)+N('Août'!AL9)+N('Septembre'!AL9)+N('Octobre'!AL9)+N('Novembre'!AL9)+N('Décembre'!AL9))</f>
        <v/>
      </c>
      <c r="G7" s="23">
        <f>IF($B7="","",N('Janvier'!AM9)+N('Février'!AM9)+N('Mars'!AM9)+N('Avril'!AM9)+N('Mai'!AM9)+N('Juin'!AM9)+N('Juillet'!AM9)+N('Août'!AM9)+N('Septembre'!AM9)+N('Octobre'!AM9)+N('Novembre'!AM9)+N('Décembre'!AM9))</f>
        <v/>
      </c>
      <c r="H7" s="24">
        <f>IF($B7="","",IF(C7+D7+E7+G7=0,"",(C7+D7)/(C7+D7+E7+G7)))</f>
        <v/>
      </c>
      <c r="I7" s="25">
        <f>IF($B7="","",N('Janvier'!AO9)+N('Février'!AO9)+N('Mars'!AO9)+N('Avril'!AO9)+N('Mai'!AO9)+N('Juin'!AO9)+N('Juillet'!AO9)+N('Août'!AO9)+N('Septembre'!AO9)+N('Octobre'!AO9)+N('Novembre'!AO9)+N('Décembre'!AO9))</f>
        <v/>
      </c>
    </row>
    <row r="8">
      <c r="A8" s="18">
        <f>IF('Employés'!B8="","",'Employés'!A8)</f>
        <v/>
      </c>
      <c r="B8" s="26">
        <f>IF('Employés'!B8="","",'Employés'!B8)</f>
        <v/>
      </c>
      <c r="C8" s="27">
        <f>IF($B8="","",N('Janvier'!AI10)+N('Février'!AI10)+N('Mars'!AI10)+N('Avril'!AI10)+N('Mai'!AI10)+N('Juin'!AI10)+N('Juillet'!AI10)+N('Août'!AI10)+N('Septembre'!AI10)+N('Octobre'!AI10)+N('Novembre'!AI10)+N('Décembre'!AI10))</f>
        <v/>
      </c>
      <c r="D8" s="27">
        <f>IF($B8="","",N('Janvier'!AJ10)+N('Février'!AJ10)+N('Mars'!AJ10)+N('Avril'!AJ10)+N('Mai'!AJ10)+N('Juin'!AJ10)+N('Juillet'!AJ10)+N('Août'!AJ10)+N('Septembre'!AJ10)+N('Octobre'!AJ10)+N('Novembre'!AJ10)+N('Décembre'!AJ10))</f>
        <v/>
      </c>
      <c r="E8" s="27">
        <f>IF($B8="","",N('Janvier'!AK10)+N('Février'!AK10)+N('Mars'!AK10)+N('Avril'!AK10)+N('Mai'!AK10)+N('Juin'!AK10)+N('Juillet'!AK10)+N('Août'!AK10)+N('Septembre'!AK10)+N('Octobre'!AK10)+N('Novembre'!AK10)+N('Décembre'!AK10))</f>
        <v/>
      </c>
      <c r="F8" s="27">
        <f>IF($B8="","",N('Janvier'!AL10)+N('Février'!AL10)+N('Mars'!AL10)+N('Avril'!AL10)+N('Mai'!AL10)+N('Juin'!AL10)+N('Juillet'!AL10)+N('Août'!AL10)+N('Septembre'!AL10)+N('Octobre'!AL10)+N('Novembre'!AL10)+N('Décembre'!AL10))</f>
        <v/>
      </c>
      <c r="G8" s="27">
        <f>IF($B8="","",N('Janvier'!AM10)+N('Février'!AM10)+N('Mars'!AM10)+N('Avril'!AM10)+N('Mai'!AM10)+N('Juin'!AM10)+N('Juillet'!AM10)+N('Août'!AM10)+N('Septembre'!AM10)+N('Octobre'!AM10)+N('Novembre'!AM10)+N('Décembre'!AM10))</f>
        <v/>
      </c>
      <c r="H8" s="28">
        <f>IF($B8="","",IF(C8+D8+E8+G8=0,"",(C8+D8)/(C8+D8+E8+G8)))</f>
        <v/>
      </c>
      <c r="I8" s="29">
        <f>IF($B8="","",N('Janvier'!AO10)+N('Février'!AO10)+N('Mars'!AO10)+N('Avril'!AO10)+N('Mai'!AO10)+N('Juin'!AO10)+N('Juillet'!AO10)+N('Août'!AO10)+N('Septembre'!AO10)+N('Octobre'!AO10)+N('Novembre'!AO10)+N('Décembre'!AO10))</f>
        <v/>
      </c>
    </row>
    <row r="9">
      <c r="A9" s="15">
        <f>IF('Employés'!B9="","",'Employés'!A9)</f>
        <v/>
      </c>
      <c r="B9" s="22">
        <f>IF('Employés'!B9="","",'Employés'!B9)</f>
        <v/>
      </c>
      <c r="C9" s="23">
        <f>IF($B9="","",N('Janvier'!AI11)+N('Février'!AI11)+N('Mars'!AI11)+N('Avril'!AI11)+N('Mai'!AI11)+N('Juin'!AI11)+N('Juillet'!AI11)+N('Août'!AI11)+N('Septembre'!AI11)+N('Octobre'!AI11)+N('Novembre'!AI11)+N('Décembre'!AI11))</f>
        <v/>
      </c>
      <c r="D9" s="23">
        <f>IF($B9="","",N('Janvier'!AJ11)+N('Février'!AJ11)+N('Mars'!AJ11)+N('Avril'!AJ11)+N('Mai'!AJ11)+N('Juin'!AJ11)+N('Juillet'!AJ11)+N('Août'!AJ11)+N('Septembre'!AJ11)+N('Octobre'!AJ11)+N('Novembre'!AJ11)+N('Décembre'!AJ11))</f>
        <v/>
      </c>
      <c r="E9" s="23">
        <f>IF($B9="","",N('Janvier'!AK11)+N('Février'!AK11)+N('Mars'!AK11)+N('Avril'!AK11)+N('Mai'!AK11)+N('Juin'!AK11)+N('Juillet'!AK11)+N('Août'!AK11)+N('Septembre'!AK11)+N('Octobre'!AK11)+N('Novembre'!AK11)+N('Décembre'!AK11))</f>
        <v/>
      </c>
      <c r="F9" s="23">
        <f>IF($B9="","",N('Janvier'!AL11)+N('Février'!AL11)+N('Mars'!AL11)+N('Avril'!AL11)+N('Mai'!AL11)+N('Juin'!AL11)+N('Juillet'!AL11)+N('Août'!AL11)+N('Septembre'!AL11)+N('Octobre'!AL11)+N('Novembre'!AL11)+N('Décembre'!AL11))</f>
        <v/>
      </c>
      <c r="G9" s="23">
        <f>IF($B9="","",N('Janvier'!AM11)+N('Février'!AM11)+N('Mars'!AM11)+N('Avril'!AM11)+N('Mai'!AM11)+N('Juin'!AM11)+N('Juillet'!AM11)+N('Août'!AM11)+N('Septembre'!AM11)+N('Octobre'!AM11)+N('Novembre'!AM11)+N('Décembre'!AM11))</f>
        <v/>
      </c>
      <c r="H9" s="24">
        <f>IF($B9="","",IF(C9+D9+E9+G9=0,"",(C9+D9)/(C9+D9+E9+G9)))</f>
        <v/>
      </c>
      <c r="I9" s="25">
        <f>IF($B9="","",N('Janvier'!AO11)+N('Février'!AO11)+N('Mars'!AO11)+N('Avril'!AO11)+N('Mai'!AO11)+N('Juin'!AO11)+N('Juillet'!AO11)+N('Août'!AO11)+N('Septembre'!AO11)+N('Octobre'!AO11)+N('Novembre'!AO11)+N('Décembre'!AO11))</f>
        <v/>
      </c>
    </row>
    <row r="10">
      <c r="A10" s="18">
        <f>IF('Employés'!B10="","",'Employés'!A10)</f>
        <v/>
      </c>
      <c r="B10" s="26">
        <f>IF('Employés'!B10="","",'Employés'!B10)</f>
        <v/>
      </c>
      <c r="C10" s="27">
        <f>IF($B10="","",N('Janvier'!AI12)+N('Février'!AI12)+N('Mars'!AI12)+N('Avril'!AI12)+N('Mai'!AI12)+N('Juin'!AI12)+N('Juillet'!AI12)+N('Août'!AI12)+N('Septembre'!AI12)+N('Octobre'!AI12)+N('Novembre'!AI12)+N('Décembre'!AI12))</f>
        <v/>
      </c>
      <c r="D10" s="27">
        <f>IF($B10="","",N('Janvier'!AJ12)+N('Février'!AJ12)+N('Mars'!AJ12)+N('Avril'!AJ12)+N('Mai'!AJ12)+N('Juin'!AJ12)+N('Juillet'!AJ12)+N('Août'!AJ12)+N('Septembre'!AJ12)+N('Octobre'!AJ12)+N('Novembre'!AJ12)+N('Décembre'!AJ12))</f>
        <v/>
      </c>
      <c r="E10" s="27">
        <f>IF($B10="","",N('Janvier'!AK12)+N('Février'!AK12)+N('Mars'!AK12)+N('Avril'!AK12)+N('Mai'!AK12)+N('Juin'!AK12)+N('Juillet'!AK12)+N('Août'!AK12)+N('Septembre'!AK12)+N('Octobre'!AK12)+N('Novembre'!AK12)+N('Décembre'!AK12))</f>
        <v/>
      </c>
      <c r="F10" s="27">
        <f>IF($B10="","",N('Janvier'!AL12)+N('Février'!AL12)+N('Mars'!AL12)+N('Avril'!AL12)+N('Mai'!AL12)+N('Juin'!AL12)+N('Juillet'!AL12)+N('Août'!AL12)+N('Septembre'!AL12)+N('Octobre'!AL12)+N('Novembre'!AL12)+N('Décembre'!AL12))</f>
        <v/>
      </c>
      <c r="G10" s="27">
        <f>IF($B10="","",N('Janvier'!AM12)+N('Février'!AM12)+N('Mars'!AM12)+N('Avril'!AM12)+N('Mai'!AM12)+N('Juin'!AM12)+N('Juillet'!AM12)+N('Août'!AM12)+N('Septembre'!AM12)+N('Octobre'!AM12)+N('Novembre'!AM12)+N('Décembre'!AM12))</f>
        <v/>
      </c>
      <c r="H10" s="28">
        <f>IF($B10="","",IF(C10+D10+E10+G10=0,"",(C10+D10)/(C10+D10+E10+G10)))</f>
        <v/>
      </c>
      <c r="I10" s="29">
        <f>IF($B10="","",N('Janvier'!AO12)+N('Février'!AO12)+N('Mars'!AO12)+N('Avril'!AO12)+N('Mai'!AO12)+N('Juin'!AO12)+N('Juillet'!AO12)+N('Août'!AO12)+N('Septembre'!AO12)+N('Octobre'!AO12)+N('Novembre'!AO12)+N('Décembre'!AO12))</f>
        <v/>
      </c>
    </row>
    <row r="11">
      <c r="A11" s="15">
        <f>IF('Employés'!B11="","",'Employés'!A11)</f>
        <v/>
      </c>
      <c r="B11" s="22">
        <f>IF('Employés'!B11="","",'Employés'!B11)</f>
        <v/>
      </c>
      <c r="C11" s="23">
        <f>IF($B11="","",N('Janvier'!AI13)+N('Février'!AI13)+N('Mars'!AI13)+N('Avril'!AI13)+N('Mai'!AI13)+N('Juin'!AI13)+N('Juillet'!AI13)+N('Août'!AI13)+N('Septembre'!AI13)+N('Octobre'!AI13)+N('Novembre'!AI13)+N('Décembre'!AI13))</f>
        <v/>
      </c>
      <c r="D11" s="23">
        <f>IF($B11="","",N('Janvier'!AJ13)+N('Février'!AJ13)+N('Mars'!AJ13)+N('Avril'!AJ13)+N('Mai'!AJ13)+N('Juin'!AJ13)+N('Juillet'!AJ13)+N('Août'!AJ13)+N('Septembre'!AJ13)+N('Octobre'!AJ13)+N('Novembre'!AJ13)+N('Décembre'!AJ13))</f>
        <v/>
      </c>
      <c r="E11" s="23">
        <f>IF($B11="","",N('Janvier'!AK13)+N('Février'!AK13)+N('Mars'!AK13)+N('Avril'!AK13)+N('Mai'!AK13)+N('Juin'!AK13)+N('Juillet'!AK13)+N('Août'!AK13)+N('Septembre'!AK13)+N('Octobre'!AK13)+N('Novembre'!AK13)+N('Décembre'!AK13))</f>
        <v/>
      </c>
      <c r="F11" s="23">
        <f>IF($B11="","",N('Janvier'!AL13)+N('Février'!AL13)+N('Mars'!AL13)+N('Avril'!AL13)+N('Mai'!AL13)+N('Juin'!AL13)+N('Juillet'!AL13)+N('Août'!AL13)+N('Septembre'!AL13)+N('Octobre'!AL13)+N('Novembre'!AL13)+N('Décembre'!AL13))</f>
        <v/>
      </c>
      <c r="G11" s="23">
        <f>IF($B11="","",N('Janvier'!AM13)+N('Février'!AM13)+N('Mars'!AM13)+N('Avril'!AM13)+N('Mai'!AM13)+N('Juin'!AM13)+N('Juillet'!AM13)+N('Août'!AM13)+N('Septembre'!AM13)+N('Octobre'!AM13)+N('Novembre'!AM13)+N('Décembre'!AM13))</f>
        <v/>
      </c>
      <c r="H11" s="24">
        <f>IF($B11="","",IF(C11+D11+E11+G11=0,"",(C11+D11)/(C11+D11+E11+G11)))</f>
        <v/>
      </c>
      <c r="I11" s="25">
        <f>IF($B11="","",N('Janvier'!AO13)+N('Février'!AO13)+N('Mars'!AO13)+N('Avril'!AO13)+N('Mai'!AO13)+N('Juin'!AO13)+N('Juillet'!AO13)+N('Août'!AO13)+N('Septembre'!AO13)+N('Octobre'!AO13)+N('Novembre'!AO13)+N('Décembre'!AO13))</f>
        <v/>
      </c>
    </row>
    <row r="12">
      <c r="A12" s="18">
        <f>IF('Employés'!B12="","",'Employés'!A12)</f>
        <v/>
      </c>
      <c r="B12" s="26">
        <f>IF('Employés'!B12="","",'Employés'!B12)</f>
        <v/>
      </c>
      <c r="C12" s="27">
        <f>IF($B12="","",N('Janvier'!AI14)+N('Février'!AI14)+N('Mars'!AI14)+N('Avril'!AI14)+N('Mai'!AI14)+N('Juin'!AI14)+N('Juillet'!AI14)+N('Août'!AI14)+N('Septembre'!AI14)+N('Octobre'!AI14)+N('Novembre'!AI14)+N('Décembre'!AI14))</f>
        <v/>
      </c>
      <c r="D12" s="27">
        <f>IF($B12="","",N('Janvier'!AJ14)+N('Février'!AJ14)+N('Mars'!AJ14)+N('Avril'!AJ14)+N('Mai'!AJ14)+N('Juin'!AJ14)+N('Juillet'!AJ14)+N('Août'!AJ14)+N('Septembre'!AJ14)+N('Octobre'!AJ14)+N('Novembre'!AJ14)+N('Décembre'!AJ14))</f>
        <v/>
      </c>
      <c r="E12" s="27">
        <f>IF($B12="","",N('Janvier'!AK14)+N('Février'!AK14)+N('Mars'!AK14)+N('Avril'!AK14)+N('Mai'!AK14)+N('Juin'!AK14)+N('Juillet'!AK14)+N('Août'!AK14)+N('Septembre'!AK14)+N('Octobre'!AK14)+N('Novembre'!AK14)+N('Décembre'!AK14))</f>
        <v/>
      </c>
      <c r="F12" s="27">
        <f>IF($B12="","",N('Janvier'!AL14)+N('Février'!AL14)+N('Mars'!AL14)+N('Avril'!AL14)+N('Mai'!AL14)+N('Juin'!AL14)+N('Juillet'!AL14)+N('Août'!AL14)+N('Septembre'!AL14)+N('Octobre'!AL14)+N('Novembre'!AL14)+N('Décembre'!AL14))</f>
        <v/>
      </c>
      <c r="G12" s="27">
        <f>IF($B12="","",N('Janvier'!AM14)+N('Février'!AM14)+N('Mars'!AM14)+N('Avril'!AM14)+N('Mai'!AM14)+N('Juin'!AM14)+N('Juillet'!AM14)+N('Août'!AM14)+N('Septembre'!AM14)+N('Octobre'!AM14)+N('Novembre'!AM14)+N('Décembre'!AM14))</f>
        <v/>
      </c>
      <c r="H12" s="28">
        <f>IF($B12="","",IF(C12+D12+E12+G12=0,"",(C12+D12)/(C12+D12+E12+G12)))</f>
        <v/>
      </c>
      <c r="I12" s="29">
        <f>IF($B12="","",N('Janvier'!AO14)+N('Février'!AO14)+N('Mars'!AO14)+N('Avril'!AO14)+N('Mai'!AO14)+N('Juin'!AO14)+N('Juillet'!AO14)+N('Août'!AO14)+N('Septembre'!AO14)+N('Octobre'!AO14)+N('Novembre'!AO14)+N('Décembre'!AO14))</f>
        <v/>
      </c>
    </row>
    <row r="13">
      <c r="A13" s="15">
        <f>IF('Employés'!B13="","",'Employés'!A13)</f>
        <v/>
      </c>
      <c r="B13" s="22">
        <f>IF('Employés'!B13="","",'Employés'!B13)</f>
        <v/>
      </c>
      <c r="C13" s="23">
        <f>IF($B13="","",N('Janvier'!AI15)+N('Février'!AI15)+N('Mars'!AI15)+N('Avril'!AI15)+N('Mai'!AI15)+N('Juin'!AI15)+N('Juillet'!AI15)+N('Août'!AI15)+N('Septembre'!AI15)+N('Octobre'!AI15)+N('Novembre'!AI15)+N('Décembre'!AI15))</f>
        <v/>
      </c>
      <c r="D13" s="23">
        <f>IF($B13="","",N('Janvier'!AJ15)+N('Février'!AJ15)+N('Mars'!AJ15)+N('Avril'!AJ15)+N('Mai'!AJ15)+N('Juin'!AJ15)+N('Juillet'!AJ15)+N('Août'!AJ15)+N('Septembre'!AJ15)+N('Octobre'!AJ15)+N('Novembre'!AJ15)+N('Décembre'!AJ15))</f>
        <v/>
      </c>
      <c r="E13" s="23">
        <f>IF($B13="","",N('Janvier'!AK15)+N('Février'!AK15)+N('Mars'!AK15)+N('Avril'!AK15)+N('Mai'!AK15)+N('Juin'!AK15)+N('Juillet'!AK15)+N('Août'!AK15)+N('Septembre'!AK15)+N('Octobre'!AK15)+N('Novembre'!AK15)+N('Décembre'!AK15))</f>
        <v/>
      </c>
      <c r="F13" s="23">
        <f>IF($B13="","",N('Janvier'!AL15)+N('Février'!AL15)+N('Mars'!AL15)+N('Avril'!AL15)+N('Mai'!AL15)+N('Juin'!AL15)+N('Juillet'!AL15)+N('Août'!AL15)+N('Septembre'!AL15)+N('Octobre'!AL15)+N('Novembre'!AL15)+N('Décembre'!AL15))</f>
        <v/>
      </c>
      <c r="G13" s="23">
        <f>IF($B13="","",N('Janvier'!AM15)+N('Février'!AM15)+N('Mars'!AM15)+N('Avril'!AM15)+N('Mai'!AM15)+N('Juin'!AM15)+N('Juillet'!AM15)+N('Août'!AM15)+N('Septembre'!AM15)+N('Octobre'!AM15)+N('Novembre'!AM15)+N('Décembre'!AM15))</f>
        <v/>
      </c>
      <c r="H13" s="24">
        <f>IF($B13="","",IF(C13+D13+E13+G13=0,"",(C13+D13)/(C13+D13+E13+G13)))</f>
        <v/>
      </c>
      <c r="I13" s="25">
        <f>IF($B13="","",N('Janvier'!AO15)+N('Février'!AO15)+N('Mars'!AO15)+N('Avril'!AO15)+N('Mai'!AO15)+N('Juin'!AO15)+N('Juillet'!AO15)+N('Août'!AO15)+N('Septembre'!AO15)+N('Octobre'!AO15)+N('Novembre'!AO15)+N('Décembre'!AO15))</f>
        <v/>
      </c>
    </row>
    <row r="14">
      <c r="A14" s="18">
        <f>IF('Employés'!B14="","",'Employés'!A14)</f>
        <v/>
      </c>
      <c r="B14" s="26">
        <f>IF('Employés'!B14="","",'Employés'!B14)</f>
        <v/>
      </c>
      <c r="C14" s="27">
        <f>IF($B14="","",N('Janvier'!AI16)+N('Février'!AI16)+N('Mars'!AI16)+N('Avril'!AI16)+N('Mai'!AI16)+N('Juin'!AI16)+N('Juillet'!AI16)+N('Août'!AI16)+N('Septembre'!AI16)+N('Octobre'!AI16)+N('Novembre'!AI16)+N('Décembre'!AI16))</f>
        <v/>
      </c>
      <c r="D14" s="27">
        <f>IF($B14="","",N('Janvier'!AJ16)+N('Février'!AJ16)+N('Mars'!AJ16)+N('Avril'!AJ16)+N('Mai'!AJ16)+N('Juin'!AJ16)+N('Juillet'!AJ16)+N('Août'!AJ16)+N('Septembre'!AJ16)+N('Octobre'!AJ16)+N('Novembre'!AJ16)+N('Décembre'!AJ16))</f>
        <v/>
      </c>
      <c r="E14" s="27">
        <f>IF($B14="","",N('Janvier'!AK16)+N('Février'!AK16)+N('Mars'!AK16)+N('Avril'!AK16)+N('Mai'!AK16)+N('Juin'!AK16)+N('Juillet'!AK16)+N('Août'!AK16)+N('Septembre'!AK16)+N('Octobre'!AK16)+N('Novembre'!AK16)+N('Décembre'!AK16))</f>
        <v/>
      </c>
      <c r="F14" s="27">
        <f>IF($B14="","",N('Janvier'!AL16)+N('Février'!AL16)+N('Mars'!AL16)+N('Avril'!AL16)+N('Mai'!AL16)+N('Juin'!AL16)+N('Juillet'!AL16)+N('Août'!AL16)+N('Septembre'!AL16)+N('Octobre'!AL16)+N('Novembre'!AL16)+N('Décembre'!AL16))</f>
        <v/>
      </c>
      <c r="G14" s="27">
        <f>IF($B14="","",N('Janvier'!AM16)+N('Février'!AM16)+N('Mars'!AM16)+N('Avril'!AM16)+N('Mai'!AM16)+N('Juin'!AM16)+N('Juillet'!AM16)+N('Août'!AM16)+N('Septembre'!AM16)+N('Octobre'!AM16)+N('Novembre'!AM16)+N('Décembre'!AM16))</f>
        <v/>
      </c>
      <c r="H14" s="28">
        <f>IF($B14="","",IF(C14+D14+E14+G14=0,"",(C14+D14)/(C14+D14+E14+G14)))</f>
        <v/>
      </c>
      <c r="I14" s="29">
        <f>IF($B14="","",N('Janvier'!AO16)+N('Février'!AO16)+N('Mars'!AO16)+N('Avril'!AO16)+N('Mai'!AO16)+N('Juin'!AO16)+N('Juillet'!AO16)+N('Août'!AO16)+N('Septembre'!AO16)+N('Octobre'!AO16)+N('Novembre'!AO16)+N('Décembre'!AO16))</f>
        <v/>
      </c>
    </row>
    <row r="15">
      <c r="A15" s="15">
        <f>IF('Employés'!B15="","",'Employés'!A15)</f>
        <v/>
      </c>
      <c r="B15" s="22">
        <f>IF('Employés'!B15="","",'Employés'!B15)</f>
        <v/>
      </c>
      <c r="C15" s="23">
        <f>IF($B15="","",N('Janvier'!AI17)+N('Février'!AI17)+N('Mars'!AI17)+N('Avril'!AI17)+N('Mai'!AI17)+N('Juin'!AI17)+N('Juillet'!AI17)+N('Août'!AI17)+N('Septembre'!AI17)+N('Octobre'!AI17)+N('Novembre'!AI17)+N('Décembre'!AI17))</f>
        <v/>
      </c>
      <c r="D15" s="23">
        <f>IF($B15="","",N('Janvier'!AJ17)+N('Février'!AJ17)+N('Mars'!AJ17)+N('Avril'!AJ17)+N('Mai'!AJ17)+N('Juin'!AJ17)+N('Juillet'!AJ17)+N('Août'!AJ17)+N('Septembre'!AJ17)+N('Octobre'!AJ17)+N('Novembre'!AJ17)+N('Décembre'!AJ17))</f>
        <v/>
      </c>
      <c r="E15" s="23">
        <f>IF($B15="","",N('Janvier'!AK17)+N('Février'!AK17)+N('Mars'!AK17)+N('Avril'!AK17)+N('Mai'!AK17)+N('Juin'!AK17)+N('Juillet'!AK17)+N('Août'!AK17)+N('Septembre'!AK17)+N('Octobre'!AK17)+N('Novembre'!AK17)+N('Décembre'!AK17))</f>
        <v/>
      </c>
      <c r="F15" s="23">
        <f>IF($B15="","",N('Janvier'!AL17)+N('Février'!AL17)+N('Mars'!AL17)+N('Avril'!AL17)+N('Mai'!AL17)+N('Juin'!AL17)+N('Juillet'!AL17)+N('Août'!AL17)+N('Septembre'!AL17)+N('Octobre'!AL17)+N('Novembre'!AL17)+N('Décembre'!AL17))</f>
        <v/>
      </c>
      <c r="G15" s="23">
        <f>IF($B15="","",N('Janvier'!AM17)+N('Février'!AM17)+N('Mars'!AM17)+N('Avril'!AM17)+N('Mai'!AM17)+N('Juin'!AM17)+N('Juillet'!AM17)+N('Août'!AM17)+N('Septembre'!AM17)+N('Octobre'!AM17)+N('Novembre'!AM17)+N('Décembre'!AM17))</f>
        <v/>
      </c>
      <c r="H15" s="24">
        <f>IF($B15="","",IF(C15+D15+E15+G15=0,"",(C15+D15)/(C15+D15+E15+G15)))</f>
        <v/>
      </c>
      <c r="I15" s="25">
        <f>IF($B15="","",N('Janvier'!AO17)+N('Février'!AO17)+N('Mars'!AO17)+N('Avril'!AO17)+N('Mai'!AO17)+N('Juin'!AO17)+N('Juillet'!AO17)+N('Août'!AO17)+N('Septembre'!AO17)+N('Octobre'!AO17)+N('Novembre'!AO17)+N('Décembre'!AO17))</f>
        <v/>
      </c>
    </row>
    <row r="16">
      <c r="A16" s="18">
        <f>IF('Employés'!B16="","",'Employés'!A16)</f>
        <v/>
      </c>
      <c r="B16" s="26">
        <f>IF('Employés'!B16="","",'Employés'!B16)</f>
        <v/>
      </c>
      <c r="C16" s="27">
        <f>IF($B16="","",N('Janvier'!AI18)+N('Février'!AI18)+N('Mars'!AI18)+N('Avril'!AI18)+N('Mai'!AI18)+N('Juin'!AI18)+N('Juillet'!AI18)+N('Août'!AI18)+N('Septembre'!AI18)+N('Octobre'!AI18)+N('Novembre'!AI18)+N('Décembre'!AI18))</f>
        <v/>
      </c>
      <c r="D16" s="27">
        <f>IF($B16="","",N('Janvier'!AJ18)+N('Février'!AJ18)+N('Mars'!AJ18)+N('Avril'!AJ18)+N('Mai'!AJ18)+N('Juin'!AJ18)+N('Juillet'!AJ18)+N('Août'!AJ18)+N('Septembre'!AJ18)+N('Octobre'!AJ18)+N('Novembre'!AJ18)+N('Décembre'!AJ18))</f>
        <v/>
      </c>
      <c r="E16" s="27">
        <f>IF($B16="","",N('Janvier'!AK18)+N('Février'!AK18)+N('Mars'!AK18)+N('Avril'!AK18)+N('Mai'!AK18)+N('Juin'!AK18)+N('Juillet'!AK18)+N('Août'!AK18)+N('Septembre'!AK18)+N('Octobre'!AK18)+N('Novembre'!AK18)+N('Décembre'!AK18))</f>
        <v/>
      </c>
      <c r="F16" s="27">
        <f>IF($B16="","",N('Janvier'!AL18)+N('Février'!AL18)+N('Mars'!AL18)+N('Avril'!AL18)+N('Mai'!AL18)+N('Juin'!AL18)+N('Juillet'!AL18)+N('Août'!AL18)+N('Septembre'!AL18)+N('Octobre'!AL18)+N('Novembre'!AL18)+N('Décembre'!AL18))</f>
        <v/>
      </c>
      <c r="G16" s="27">
        <f>IF($B16="","",N('Janvier'!AM18)+N('Février'!AM18)+N('Mars'!AM18)+N('Avril'!AM18)+N('Mai'!AM18)+N('Juin'!AM18)+N('Juillet'!AM18)+N('Août'!AM18)+N('Septembre'!AM18)+N('Octobre'!AM18)+N('Novembre'!AM18)+N('Décembre'!AM18))</f>
        <v/>
      </c>
      <c r="H16" s="28">
        <f>IF($B16="","",IF(C16+D16+E16+G16=0,"",(C16+D16)/(C16+D16+E16+G16)))</f>
        <v/>
      </c>
      <c r="I16" s="29">
        <f>IF($B16="","",N('Janvier'!AO18)+N('Février'!AO18)+N('Mars'!AO18)+N('Avril'!AO18)+N('Mai'!AO18)+N('Juin'!AO18)+N('Juillet'!AO18)+N('Août'!AO18)+N('Septembre'!AO18)+N('Octobre'!AO18)+N('Novembre'!AO18)+N('Décembre'!AO18))</f>
        <v/>
      </c>
    </row>
    <row r="17">
      <c r="A17" s="15">
        <f>IF('Employés'!B17="","",'Employés'!A17)</f>
        <v/>
      </c>
      <c r="B17" s="22">
        <f>IF('Employés'!B17="","",'Employés'!B17)</f>
        <v/>
      </c>
      <c r="C17" s="23">
        <f>IF($B17="","",N('Janvier'!AI19)+N('Février'!AI19)+N('Mars'!AI19)+N('Avril'!AI19)+N('Mai'!AI19)+N('Juin'!AI19)+N('Juillet'!AI19)+N('Août'!AI19)+N('Septembre'!AI19)+N('Octobre'!AI19)+N('Novembre'!AI19)+N('Décembre'!AI19))</f>
        <v/>
      </c>
      <c r="D17" s="23">
        <f>IF($B17="","",N('Janvier'!AJ19)+N('Février'!AJ19)+N('Mars'!AJ19)+N('Avril'!AJ19)+N('Mai'!AJ19)+N('Juin'!AJ19)+N('Juillet'!AJ19)+N('Août'!AJ19)+N('Septembre'!AJ19)+N('Octobre'!AJ19)+N('Novembre'!AJ19)+N('Décembre'!AJ19))</f>
        <v/>
      </c>
      <c r="E17" s="23">
        <f>IF($B17="","",N('Janvier'!AK19)+N('Février'!AK19)+N('Mars'!AK19)+N('Avril'!AK19)+N('Mai'!AK19)+N('Juin'!AK19)+N('Juillet'!AK19)+N('Août'!AK19)+N('Septembre'!AK19)+N('Octobre'!AK19)+N('Novembre'!AK19)+N('Décembre'!AK19))</f>
        <v/>
      </c>
      <c r="F17" s="23">
        <f>IF($B17="","",N('Janvier'!AL19)+N('Février'!AL19)+N('Mars'!AL19)+N('Avril'!AL19)+N('Mai'!AL19)+N('Juin'!AL19)+N('Juillet'!AL19)+N('Août'!AL19)+N('Septembre'!AL19)+N('Octobre'!AL19)+N('Novembre'!AL19)+N('Décembre'!AL19))</f>
        <v/>
      </c>
      <c r="G17" s="23">
        <f>IF($B17="","",N('Janvier'!AM19)+N('Février'!AM19)+N('Mars'!AM19)+N('Avril'!AM19)+N('Mai'!AM19)+N('Juin'!AM19)+N('Juillet'!AM19)+N('Août'!AM19)+N('Septembre'!AM19)+N('Octobre'!AM19)+N('Novembre'!AM19)+N('Décembre'!AM19))</f>
        <v/>
      </c>
      <c r="H17" s="24">
        <f>IF($B17="","",IF(C17+D17+E17+G17=0,"",(C17+D17)/(C17+D17+E17+G17)))</f>
        <v/>
      </c>
      <c r="I17" s="25">
        <f>IF($B17="","",N('Janvier'!AO19)+N('Février'!AO19)+N('Mars'!AO19)+N('Avril'!AO19)+N('Mai'!AO19)+N('Juin'!AO19)+N('Juillet'!AO19)+N('Août'!AO19)+N('Septembre'!AO19)+N('Octobre'!AO19)+N('Novembre'!AO19)+N('Décembre'!AO19))</f>
        <v/>
      </c>
    </row>
    <row r="18">
      <c r="A18" s="18">
        <f>IF('Employés'!B18="","",'Employés'!A18)</f>
        <v/>
      </c>
      <c r="B18" s="26">
        <f>IF('Employés'!B18="","",'Employés'!B18)</f>
        <v/>
      </c>
      <c r="C18" s="27">
        <f>IF($B18="","",N('Janvier'!AI20)+N('Février'!AI20)+N('Mars'!AI20)+N('Avril'!AI20)+N('Mai'!AI20)+N('Juin'!AI20)+N('Juillet'!AI20)+N('Août'!AI20)+N('Septembre'!AI20)+N('Octobre'!AI20)+N('Novembre'!AI20)+N('Décembre'!AI20))</f>
        <v/>
      </c>
      <c r="D18" s="27">
        <f>IF($B18="","",N('Janvier'!AJ20)+N('Février'!AJ20)+N('Mars'!AJ20)+N('Avril'!AJ20)+N('Mai'!AJ20)+N('Juin'!AJ20)+N('Juillet'!AJ20)+N('Août'!AJ20)+N('Septembre'!AJ20)+N('Octobre'!AJ20)+N('Novembre'!AJ20)+N('Décembre'!AJ20))</f>
        <v/>
      </c>
      <c r="E18" s="27">
        <f>IF($B18="","",N('Janvier'!AK20)+N('Février'!AK20)+N('Mars'!AK20)+N('Avril'!AK20)+N('Mai'!AK20)+N('Juin'!AK20)+N('Juillet'!AK20)+N('Août'!AK20)+N('Septembre'!AK20)+N('Octobre'!AK20)+N('Novembre'!AK20)+N('Décembre'!AK20))</f>
        <v/>
      </c>
      <c r="F18" s="27">
        <f>IF($B18="","",N('Janvier'!AL20)+N('Février'!AL20)+N('Mars'!AL20)+N('Avril'!AL20)+N('Mai'!AL20)+N('Juin'!AL20)+N('Juillet'!AL20)+N('Août'!AL20)+N('Septembre'!AL20)+N('Octobre'!AL20)+N('Novembre'!AL20)+N('Décembre'!AL20))</f>
        <v/>
      </c>
      <c r="G18" s="27">
        <f>IF($B18="","",N('Janvier'!AM20)+N('Février'!AM20)+N('Mars'!AM20)+N('Avril'!AM20)+N('Mai'!AM20)+N('Juin'!AM20)+N('Juillet'!AM20)+N('Août'!AM20)+N('Septembre'!AM20)+N('Octobre'!AM20)+N('Novembre'!AM20)+N('Décembre'!AM20))</f>
        <v/>
      </c>
      <c r="H18" s="28">
        <f>IF($B18="","",IF(C18+D18+E18+G18=0,"",(C18+D18)/(C18+D18+E18+G18)))</f>
        <v/>
      </c>
      <c r="I18" s="29">
        <f>IF($B18="","",N('Janvier'!AO20)+N('Février'!AO20)+N('Mars'!AO20)+N('Avril'!AO20)+N('Mai'!AO20)+N('Juin'!AO20)+N('Juillet'!AO20)+N('Août'!AO20)+N('Septembre'!AO20)+N('Octobre'!AO20)+N('Novembre'!AO20)+N('Décembre'!AO20))</f>
        <v/>
      </c>
    </row>
    <row r="19">
      <c r="A19" s="15">
        <f>IF('Employés'!B19="","",'Employés'!A19)</f>
        <v/>
      </c>
      <c r="B19" s="22">
        <f>IF('Employés'!B19="","",'Employés'!B19)</f>
        <v/>
      </c>
      <c r="C19" s="23">
        <f>IF($B19="","",N('Janvier'!AI21)+N('Février'!AI21)+N('Mars'!AI21)+N('Avril'!AI21)+N('Mai'!AI21)+N('Juin'!AI21)+N('Juillet'!AI21)+N('Août'!AI21)+N('Septembre'!AI21)+N('Octobre'!AI21)+N('Novembre'!AI21)+N('Décembre'!AI21))</f>
        <v/>
      </c>
      <c r="D19" s="23">
        <f>IF($B19="","",N('Janvier'!AJ21)+N('Février'!AJ21)+N('Mars'!AJ21)+N('Avril'!AJ21)+N('Mai'!AJ21)+N('Juin'!AJ21)+N('Juillet'!AJ21)+N('Août'!AJ21)+N('Septembre'!AJ21)+N('Octobre'!AJ21)+N('Novembre'!AJ21)+N('Décembre'!AJ21))</f>
        <v/>
      </c>
      <c r="E19" s="23">
        <f>IF($B19="","",N('Janvier'!AK21)+N('Février'!AK21)+N('Mars'!AK21)+N('Avril'!AK21)+N('Mai'!AK21)+N('Juin'!AK21)+N('Juillet'!AK21)+N('Août'!AK21)+N('Septembre'!AK21)+N('Octobre'!AK21)+N('Novembre'!AK21)+N('Décembre'!AK21))</f>
        <v/>
      </c>
      <c r="F19" s="23">
        <f>IF($B19="","",N('Janvier'!AL21)+N('Février'!AL21)+N('Mars'!AL21)+N('Avril'!AL21)+N('Mai'!AL21)+N('Juin'!AL21)+N('Juillet'!AL21)+N('Août'!AL21)+N('Septembre'!AL21)+N('Octobre'!AL21)+N('Novembre'!AL21)+N('Décembre'!AL21))</f>
        <v/>
      </c>
      <c r="G19" s="23">
        <f>IF($B19="","",N('Janvier'!AM21)+N('Février'!AM21)+N('Mars'!AM21)+N('Avril'!AM21)+N('Mai'!AM21)+N('Juin'!AM21)+N('Juillet'!AM21)+N('Août'!AM21)+N('Septembre'!AM21)+N('Octobre'!AM21)+N('Novembre'!AM21)+N('Décembre'!AM21))</f>
        <v/>
      </c>
      <c r="H19" s="24">
        <f>IF($B19="","",IF(C19+D19+E19+G19=0,"",(C19+D19)/(C19+D19+E19+G19)))</f>
        <v/>
      </c>
      <c r="I19" s="25">
        <f>IF($B19="","",N('Janvier'!AO21)+N('Février'!AO21)+N('Mars'!AO21)+N('Avril'!AO21)+N('Mai'!AO21)+N('Juin'!AO21)+N('Juillet'!AO21)+N('Août'!AO21)+N('Septembre'!AO21)+N('Octobre'!AO21)+N('Novembre'!AO21)+N('Décembre'!AO21))</f>
        <v/>
      </c>
    </row>
    <row r="20">
      <c r="A20" s="18">
        <f>IF('Employés'!B20="","",'Employés'!A20)</f>
        <v/>
      </c>
      <c r="B20" s="26">
        <f>IF('Employés'!B20="","",'Employés'!B20)</f>
        <v/>
      </c>
      <c r="C20" s="27">
        <f>IF($B20="","",N('Janvier'!AI22)+N('Février'!AI22)+N('Mars'!AI22)+N('Avril'!AI22)+N('Mai'!AI22)+N('Juin'!AI22)+N('Juillet'!AI22)+N('Août'!AI22)+N('Septembre'!AI22)+N('Octobre'!AI22)+N('Novembre'!AI22)+N('Décembre'!AI22))</f>
        <v/>
      </c>
      <c r="D20" s="27">
        <f>IF($B20="","",N('Janvier'!AJ22)+N('Février'!AJ22)+N('Mars'!AJ22)+N('Avril'!AJ22)+N('Mai'!AJ22)+N('Juin'!AJ22)+N('Juillet'!AJ22)+N('Août'!AJ22)+N('Septembre'!AJ22)+N('Octobre'!AJ22)+N('Novembre'!AJ22)+N('Décembre'!AJ22))</f>
        <v/>
      </c>
      <c r="E20" s="27">
        <f>IF($B20="","",N('Janvier'!AK22)+N('Février'!AK22)+N('Mars'!AK22)+N('Avril'!AK22)+N('Mai'!AK22)+N('Juin'!AK22)+N('Juillet'!AK22)+N('Août'!AK22)+N('Septembre'!AK22)+N('Octobre'!AK22)+N('Novembre'!AK22)+N('Décembre'!AK22))</f>
        <v/>
      </c>
      <c r="F20" s="27">
        <f>IF($B20="","",N('Janvier'!AL22)+N('Février'!AL22)+N('Mars'!AL22)+N('Avril'!AL22)+N('Mai'!AL22)+N('Juin'!AL22)+N('Juillet'!AL22)+N('Août'!AL22)+N('Septembre'!AL22)+N('Octobre'!AL22)+N('Novembre'!AL22)+N('Décembre'!AL22))</f>
        <v/>
      </c>
      <c r="G20" s="27">
        <f>IF($B20="","",N('Janvier'!AM22)+N('Février'!AM22)+N('Mars'!AM22)+N('Avril'!AM22)+N('Mai'!AM22)+N('Juin'!AM22)+N('Juillet'!AM22)+N('Août'!AM22)+N('Septembre'!AM22)+N('Octobre'!AM22)+N('Novembre'!AM22)+N('Décembre'!AM22))</f>
        <v/>
      </c>
      <c r="H20" s="28">
        <f>IF($B20="","",IF(C20+D20+E20+G20=0,"",(C20+D20)/(C20+D20+E20+G20)))</f>
        <v/>
      </c>
      <c r="I20" s="29">
        <f>IF($B20="","",N('Janvier'!AO22)+N('Février'!AO22)+N('Mars'!AO22)+N('Avril'!AO22)+N('Mai'!AO22)+N('Juin'!AO22)+N('Juillet'!AO22)+N('Août'!AO22)+N('Septembre'!AO22)+N('Octobre'!AO22)+N('Novembre'!AO22)+N('Décembre'!AO22))</f>
        <v/>
      </c>
    </row>
    <row r="21">
      <c r="A21" s="15">
        <f>IF('Employés'!B21="","",'Employés'!A21)</f>
        <v/>
      </c>
      <c r="B21" s="22">
        <f>IF('Employés'!B21="","",'Employés'!B21)</f>
        <v/>
      </c>
      <c r="C21" s="23">
        <f>IF($B21="","",N('Janvier'!AI23)+N('Février'!AI23)+N('Mars'!AI23)+N('Avril'!AI23)+N('Mai'!AI23)+N('Juin'!AI23)+N('Juillet'!AI23)+N('Août'!AI23)+N('Septembre'!AI23)+N('Octobre'!AI23)+N('Novembre'!AI23)+N('Décembre'!AI23))</f>
        <v/>
      </c>
      <c r="D21" s="23">
        <f>IF($B21="","",N('Janvier'!AJ23)+N('Février'!AJ23)+N('Mars'!AJ23)+N('Avril'!AJ23)+N('Mai'!AJ23)+N('Juin'!AJ23)+N('Juillet'!AJ23)+N('Août'!AJ23)+N('Septembre'!AJ23)+N('Octobre'!AJ23)+N('Novembre'!AJ23)+N('Décembre'!AJ23))</f>
        <v/>
      </c>
      <c r="E21" s="23">
        <f>IF($B21="","",N('Janvier'!AK23)+N('Février'!AK23)+N('Mars'!AK23)+N('Avril'!AK23)+N('Mai'!AK23)+N('Juin'!AK23)+N('Juillet'!AK23)+N('Août'!AK23)+N('Septembre'!AK23)+N('Octobre'!AK23)+N('Novembre'!AK23)+N('Décembre'!AK23))</f>
        <v/>
      </c>
      <c r="F21" s="23">
        <f>IF($B21="","",N('Janvier'!AL23)+N('Février'!AL23)+N('Mars'!AL23)+N('Avril'!AL23)+N('Mai'!AL23)+N('Juin'!AL23)+N('Juillet'!AL23)+N('Août'!AL23)+N('Septembre'!AL23)+N('Octobre'!AL23)+N('Novembre'!AL23)+N('Décembre'!AL23))</f>
        <v/>
      </c>
      <c r="G21" s="23">
        <f>IF($B21="","",N('Janvier'!AM23)+N('Février'!AM23)+N('Mars'!AM23)+N('Avril'!AM23)+N('Mai'!AM23)+N('Juin'!AM23)+N('Juillet'!AM23)+N('Août'!AM23)+N('Septembre'!AM23)+N('Octobre'!AM23)+N('Novembre'!AM23)+N('Décembre'!AM23))</f>
        <v/>
      </c>
      <c r="H21" s="24">
        <f>IF($B21="","",IF(C21+D21+E21+G21=0,"",(C21+D21)/(C21+D21+E21+G21)))</f>
        <v/>
      </c>
      <c r="I21" s="25">
        <f>IF($B21="","",N('Janvier'!AO23)+N('Février'!AO23)+N('Mars'!AO23)+N('Avril'!AO23)+N('Mai'!AO23)+N('Juin'!AO23)+N('Juillet'!AO23)+N('Août'!AO23)+N('Septembre'!AO23)+N('Octobre'!AO23)+N('Novembre'!AO23)+N('Décembre'!AO23))</f>
        <v/>
      </c>
    </row>
    <row r="22">
      <c r="A22" s="18">
        <f>IF('Employés'!B22="","",'Employés'!A22)</f>
        <v/>
      </c>
      <c r="B22" s="26">
        <f>IF('Employés'!B22="","",'Employés'!B22)</f>
        <v/>
      </c>
      <c r="C22" s="27">
        <f>IF($B22="","",N('Janvier'!AI24)+N('Février'!AI24)+N('Mars'!AI24)+N('Avril'!AI24)+N('Mai'!AI24)+N('Juin'!AI24)+N('Juillet'!AI24)+N('Août'!AI24)+N('Septembre'!AI24)+N('Octobre'!AI24)+N('Novembre'!AI24)+N('Décembre'!AI24))</f>
        <v/>
      </c>
      <c r="D22" s="27">
        <f>IF($B22="","",N('Janvier'!AJ24)+N('Février'!AJ24)+N('Mars'!AJ24)+N('Avril'!AJ24)+N('Mai'!AJ24)+N('Juin'!AJ24)+N('Juillet'!AJ24)+N('Août'!AJ24)+N('Septembre'!AJ24)+N('Octobre'!AJ24)+N('Novembre'!AJ24)+N('Décembre'!AJ24))</f>
        <v/>
      </c>
      <c r="E22" s="27">
        <f>IF($B22="","",N('Janvier'!AK24)+N('Février'!AK24)+N('Mars'!AK24)+N('Avril'!AK24)+N('Mai'!AK24)+N('Juin'!AK24)+N('Juillet'!AK24)+N('Août'!AK24)+N('Septembre'!AK24)+N('Octobre'!AK24)+N('Novembre'!AK24)+N('Décembre'!AK24))</f>
        <v/>
      </c>
      <c r="F22" s="27">
        <f>IF($B22="","",N('Janvier'!AL24)+N('Février'!AL24)+N('Mars'!AL24)+N('Avril'!AL24)+N('Mai'!AL24)+N('Juin'!AL24)+N('Juillet'!AL24)+N('Août'!AL24)+N('Septembre'!AL24)+N('Octobre'!AL24)+N('Novembre'!AL24)+N('Décembre'!AL24))</f>
        <v/>
      </c>
      <c r="G22" s="27">
        <f>IF($B22="","",N('Janvier'!AM24)+N('Février'!AM24)+N('Mars'!AM24)+N('Avril'!AM24)+N('Mai'!AM24)+N('Juin'!AM24)+N('Juillet'!AM24)+N('Août'!AM24)+N('Septembre'!AM24)+N('Octobre'!AM24)+N('Novembre'!AM24)+N('Décembre'!AM24))</f>
        <v/>
      </c>
      <c r="H22" s="28">
        <f>IF($B22="","",IF(C22+D22+E22+G22=0,"",(C22+D22)/(C22+D22+E22+G22)))</f>
        <v/>
      </c>
      <c r="I22" s="29">
        <f>IF($B22="","",N('Janvier'!AO24)+N('Février'!AO24)+N('Mars'!AO24)+N('Avril'!AO24)+N('Mai'!AO24)+N('Juin'!AO24)+N('Juillet'!AO24)+N('Août'!AO24)+N('Septembre'!AO24)+N('Octobre'!AO24)+N('Novembre'!AO24)+N('Décembre'!AO24))</f>
        <v/>
      </c>
    </row>
    <row r="23">
      <c r="A23" s="15">
        <f>IF('Employés'!B23="","",'Employés'!A23)</f>
        <v/>
      </c>
      <c r="B23" s="22">
        <f>IF('Employés'!B23="","",'Employés'!B23)</f>
        <v/>
      </c>
      <c r="C23" s="23">
        <f>IF($B23="","",N('Janvier'!AI25)+N('Février'!AI25)+N('Mars'!AI25)+N('Avril'!AI25)+N('Mai'!AI25)+N('Juin'!AI25)+N('Juillet'!AI25)+N('Août'!AI25)+N('Septembre'!AI25)+N('Octobre'!AI25)+N('Novembre'!AI25)+N('Décembre'!AI25))</f>
        <v/>
      </c>
      <c r="D23" s="23">
        <f>IF($B23="","",N('Janvier'!AJ25)+N('Février'!AJ25)+N('Mars'!AJ25)+N('Avril'!AJ25)+N('Mai'!AJ25)+N('Juin'!AJ25)+N('Juillet'!AJ25)+N('Août'!AJ25)+N('Septembre'!AJ25)+N('Octobre'!AJ25)+N('Novembre'!AJ25)+N('Décembre'!AJ25))</f>
        <v/>
      </c>
      <c r="E23" s="23">
        <f>IF($B23="","",N('Janvier'!AK25)+N('Février'!AK25)+N('Mars'!AK25)+N('Avril'!AK25)+N('Mai'!AK25)+N('Juin'!AK25)+N('Juillet'!AK25)+N('Août'!AK25)+N('Septembre'!AK25)+N('Octobre'!AK25)+N('Novembre'!AK25)+N('Décembre'!AK25))</f>
        <v/>
      </c>
      <c r="F23" s="23">
        <f>IF($B23="","",N('Janvier'!AL25)+N('Février'!AL25)+N('Mars'!AL25)+N('Avril'!AL25)+N('Mai'!AL25)+N('Juin'!AL25)+N('Juillet'!AL25)+N('Août'!AL25)+N('Septembre'!AL25)+N('Octobre'!AL25)+N('Novembre'!AL25)+N('Décembre'!AL25))</f>
        <v/>
      </c>
      <c r="G23" s="23">
        <f>IF($B23="","",N('Janvier'!AM25)+N('Février'!AM25)+N('Mars'!AM25)+N('Avril'!AM25)+N('Mai'!AM25)+N('Juin'!AM25)+N('Juillet'!AM25)+N('Août'!AM25)+N('Septembre'!AM25)+N('Octobre'!AM25)+N('Novembre'!AM25)+N('Décembre'!AM25))</f>
        <v/>
      </c>
      <c r="H23" s="24">
        <f>IF($B23="","",IF(C23+D23+E23+G23=0,"",(C23+D23)/(C23+D23+E23+G23)))</f>
        <v/>
      </c>
      <c r="I23" s="25">
        <f>IF($B23="","",N('Janvier'!AO25)+N('Février'!AO25)+N('Mars'!AO25)+N('Avril'!AO25)+N('Mai'!AO25)+N('Juin'!AO25)+N('Juillet'!AO25)+N('Août'!AO25)+N('Septembre'!AO25)+N('Octobre'!AO25)+N('Novembre'!AO25)+N('Décembre'!AO25))</f>
        <v/>
      </c>
    </row>
    <row r="24">
      <c r="A24" s="18">
        <f>IF('Employés'!B24="","",'Employés'!A24)</f>
        <v/>
      </c>
      <c r="B24" s="26">
        <f>IF('Employés'!B24="","",'Employés'!B24)</f>
        <v/>
      </c>
      <c r="C24" s="27">
        <f>IF($B24="","",N('Janvier'!AI26)+N('Février'!AI26)+N('Mars'!AI26)+N('Avril'!AI26)+N('Mai'!AI26)+N('Juin'!AI26)+N('Juillet'!AI26)+N('Août'!AI26)+N('Septembre'!AI26)+N('Octobre'!AI26)+N('Novembre'!AI26)+N('Décembre'!AI26))</f>
        <v/>
      </c>
      <c r="D24" s="27">
        <f>IF($B24="","",N('Janvier'!AJ26)+N('Février'!AJ26)+N('Mars'!AJ26)+N('Avril'!AJ26)+N('Mai'!AJ26)+N('Juin'!AJ26)+N('Juillet'!AJ26)+N('Août'!AJ26)+N('Septembre'!AJ26)+N('Octobre'!AJ26)+N('Novembre'!AJ26)+N('Décembre'!AJ26))</f>
        <v/>
      </c>
      <c r="E24" s="27">
        <f>IF($B24="","",N('Janvier'!AK26)+N('Février'!AK26)+N('Mars'!AK26)+N('Avril'!AK26)+N('Mai'!AK26)+N('Juin'!AK26)+N('Juillet'!AK26)+N('Août'!AK26)+N('Septembre'!AK26)+N('Octobre'!AK26)+N('Novembre'!AK26)+N('Décembre'!AK26))</f>
        <v/>
      </c>
      <c r="F24" s="27">
        <f>IF($B24="","",N('Janvier'!AL26)+N('Février'!AL26)+N('Mars'!AL26)+N('Avril'!AL26)+N('Mai'!AL26)+N('Juin'!AL26)+N('Juillet'!AL26)+N('Août'!AL26)+N('Septembre'!AL26)+N('Octobre'!AL26)+N('Novembre'!AL26)+N('Décembre'!AL26))</f>
        <v/>
      </c>
      <c r="G24" s="27">
        <f>IF($B24="","",N('Janvier'!AM26)+N('Février'!AM26)+N('Mars'!AM26)+N('Avril'!AM26)+N('Mai'!AM26)+N('Juin'!AM26)+N('Juillet'!AM26)+N('Août'!AM26)+N('Septembre'!AM26)+N('Octobre'!AM26)+N('Novembre'!AM26)+N('Décembre'!AM26))</f>
        <v/>
      </c>
      <c r="H24" s="28">
        <f>IF($B24="","",IF(C24+D24+E24+G24=0,"",(C24+D24)/(C24+D24+E24+G24)))</f>
        <v/>
      </c>
      <c r="I24" s="29">
        <f>IF($B24="","",N('Janvier'!AO26)+N('Février'!AO26)+N('Mars'!AO26)+N('Avril'!AO26)+N('Mai'!AO26)+N('Juin'!AO26)+N('Juillet'!AO26)+N('Août'!AO26)+N('Septembre'!AO26)+N('Octobre'!AO26)+N('Novembre'!AO26)+N('Décembre'!AO26))</f>
        <v/>
      </c>
    </row>
    <row r="25">
      <c r="A25" s="15">
        <f>IF('Employés'!B25="","",'Employés'!A25)</f>
        <v/>
      </c>
      <c r="B25" s="22">
        <f>IF('Employés'!B25="","",'Employés'!B25)</f>
        <v/>
      </c>
      <c r="C25" s="23">
        <f>IF($B25="","",N('Janvier'!AI27)+N('Février'!AI27)+N('Mars'!AI27)+N('Avril'!AI27)+N('Mai'!AI27)+N('Juin'!AI27)+N('Juillet'!AI27)+N('Août'!AI27)+N('Septembre'!AI27)+N('Octobre'!AI27)+N('Novembre'!AI27)+N('Décembre'!AI27))</f>
        <v/>
      </c>
      <c r="D25" s="23">
        <f>IF($B25="","",N('Janvier'!AJ27)+N('Février'!AJ27)+N('Mars'!AJ27)+N('Avril'!AJ27)+N('Mai'!AJ27)+N('Juin'!AJ27)+N('Juillet'!AJ27)+N('Août'!AJ27)+N('Septembre'!AJ27)+N('Octobre'!AJ27)+N('Novembre'!AJ27)+N('Décembre'!AJ27))</f>
        <v/>
      </c>
      <c r="E25" s="23">
        <f>IF($B25="","",N('Janvier'!AK27)+N('Février'!AK27)+N('Mars'!AK27)+N('Avril'!AK27)+N('Mai'!AK27)+N('Juin'!AK27)+N('Juillet'!AK27)+N('Août'!AK27)+N('Septembre'!AK27)+N('Octobre'!AK27)+N('Novembre'!AK27)+N('Décembre'!AK27))</f>
        <v/>
      </c>
      <c r="F25" s="23">
        <f>IF($B25="","",N('Janvier'!AL27)+N('Février'!AL27)+N('Mars'!AL27)+N('Avril'!AL27)+N('Mai'!AL27)+N('Juin'!AL27)+N('Juillet'!AL27)+N('Août'!AL27)+N('Septembre'!AL27)+N('Octobre'!AL27)+N('Novembre'!AL27)+N('Décembre'!AL27))</f>
        <v/>
      </c>
      <c r="G25" s="23">
        <f>IF($B25="","",N('Janvier'!AM27)+N('Février'!AM27)+N('Mars'!AM27)+N('Avril'!AM27)+N('Mai'!AM27)+N('Juin'!AM27)+N('Juillet'!AM27)+N('Août'!AM27)+N('Septembre'!AM27)+N('Octobre'!AM27)+N('Novembre'!AM27)+N('Décembre'!AM27))</f>
        <v/>
      </c>
      <c r="H25" s="24">
        <f>IF($B25="","",IF(C25+D25+E25+G25=0,"",(C25+D25)/(C25+D25+E25+G25)))</f>
        <v/>
      </c>
      <c r="I25" s="25">
        <f>IF($B25="","",N('Janvier'!AO27)+N('Février'!AO27)+N('Mars'!AO27)+N('Avril'!AO27)+N('Mai'!AO27)+N('Juin'!AO27)+N('Juillet'!AO27)+N('Août'!AO27)+N('Septembre'!AO27)+N('Octobre'!AO27)+N('Novembre'!AO27)+N('Décembre'!AO27))</f>
        <v/>
      </c>
    </row>
    <row r="26">
      <c r="A26" s="18">
        <f>IF('Employés'!B26="","",'Employés'!A26)</f>
        <v/>
      </c>
      <c r="B26" s="26">
        <f>IF('Employés'!B26="","",'Employés'!B26)</f>
        <v/>
      </c>
      <c r="C26" s="27">
        <f>IF($B26="","",N('Janvier'!AI28)+N('Février'!AI28)+N('Mars'!AI28)+N('Avril'!AI28)+N('Mai'!AI28)+N('Juin'!AI28)+N('Juillet'!AI28)+N('Août'!AI28)+N('Septembre'!AI28)+N('Octobre'!AI28)+N('Novembre'!AI28)+N('Décembre'!AI28))</f>
        <v/>
      </c>
      <c r="D26" s="27">
        <f>IF($B26="","",N('Janvier'!AJ28)+N('Février'!AJ28)+N('Mars'!AJ28)+N('Avril'!AJ28)+N('Mai'!AJ28)+N('Juin'!AJ28)+N('Juillet'!AJ28)+N('Août'!AJ28)+N('Septembre'!AJ28)+N('Octobre'!AJ28)+N('Novembre'!AJ28)+N('Décembre'!AJ28))</f>
        <v/>
      </c>
      <c r="E26" s="27">
        <f>IF($B26="","",N('Janvier'!AK28)+N('Février'!AK28)+N('Mars'!AK28)+N('Avril'!AK28)+N('Mai'!AK28)+N('Juin'!AK28)+N('Juillet'!AK28)+N('Août'!AK28)+N('Septembre'!AK28)+N('Octobre'!AK28)+N('Novembre'!AK28)+N('Décembre'!AK28))</f>
        <v/>
      </c>
      <c r="F26" s="27">
        <f>IF($B26="","",N('Janvier'!AL28)+N('Février'!AL28)+N('Mars'!AL28)+N('Avril'!AL28)+N('Mai'!AL28)+N('Juin'!AL28)+N('Juillet'!AL28)+N('Août'!AL28)+N('Septembre'!AL28)+N('Octobre'!AL28)+N('Novembre'!AL28)+N('Décembre'!AL28))</f>
        <v/>
      </c>
      <c r="G26" s="27">
        <f>IF($B26="","",N('Janvier'!AM28)+N('Février'!AM28)+N('Mars'!AM28)+N('Avril'!AM28)+N('Mai'!AM28)+N('Juin'!AM28)+N('Juillet'!AM28)+N('Août'!AM28)+N('Septembre'!AM28)+N('Octobre'!AM28)+N('Novembre'!AM28)+N('Décembre'!AM28))</f>
        <v/>
      </c>
      <c r="H26" s="28">
        <f>IF($B26="","",IF(C26+D26+E26+G26=0,"",(C26+D26)/(C26+D26+E26+G26)))</f>
        <v/>
      </c>
      <c r="I26" s="29">
        <f>IF($B26="","",N('Janvier'!AO28)+N('Février'!AO28)+N('Mars'!AO28)+N('Avril'!AO28)+N('Mai'!AO28)+N('Juin'!AO28)+N('Juillet'!AO28)+N('Août'!AO28)+N('Septembre'!AO28)+N('Octobre'!AO28)+N('Novembre'!AO28)+N('Décembre'!AO28))</f>
        <v/>
      </c>
    </row>
    <row r="27">
      <c r="A27" s="15">
        <f>IF('Employés'!B27="","",'Employés'!A27)</f>
        <v/>
      </c>
      <c r="B27" s="22">
        <f>IF('Employés'!B27="","",'Employés'!B27)</f>
        <v/>
      </c>
      <c r="C27" s="23">
        <f>IF($B27="","",N('Janvier'!AI29)+N('Février'!AI29)+N('Mars'!AI29)+N('Avril'!AI29)+N('Mai'!AI29)+N('Juin'!AI29)+N('Juillet'!AI29)+N('Août'!AI29)+N('Septembre'!AI29)+N('Octobre'!AI29)+N('Novembre'!AI29)+N('Décembre'!AI29))</f>
        <v/>
      </c>
      <c r="D27" s="23">
        <f>IF($B27="","",N('Janvier'!AJ29)+N('Février'!AJ29)+N('Mars'!AJ29)+N('Avril'!AJ29)+N('Mai'!AJ29)+N('Juin'!AJ29)+N('Juillet'!AJ29)+N('Août'!AJ29)+N('Septembre'!AJ29)+N('Octobre'!AJ29)+N('Novembre'!AJ29)+N('Décembre'!AJ29))</f>
        <v/>
      </c>
      <c r="E27" s="23">
        <f>IF($B27="","",N('Janvier'!AK29)+N('Février'!AK29)+N('Mars'!AK29)+N('Avril'!AK29)+N('Mai'!AK29)+N('Juin'!AK29)+N('Juillet'!AK29)+N('Août'!AK29)+N('Septembre'!AK29)+N('Octobre'!AK29)+N('Novembre'!AK29)+N('Décembre'!AK29))</f>
        <v/>
      </c>
      <c r="F27" s="23">
        <f>IF($B27="","",N('Janvier'!AL29)+N('Février'!AL29)+N('Mars'!AL29)+N('Avril'!AL29)+N('Mai'!AL29)+N('Juin'!AL29)+N('Juillet'!AL29)+N('Août'!AL29)+N('Septembre'!AL29)+N('Octobre'!AL29)+N('Novembre'!AL29)+N('Décembre'!AL29))</f>
        <v/>
      </c>
      <c r="G27" s="23">
        <f>IF($B27="","",N('Janvier'!AM29)+N('Février'!AM29)+N('Mars'!AM29)+N('Avril'!AM29)+N('Mai'!AM29)+N('Juin'!AM29)+N('Juillet'!AM29)+N('Août'!AM29)+N('Septembre'!AM29)+N('Octobre'!AM29)+N('Novembre'!AM29)+N('Décembre'!AM29))</f>
        <v/>
      </c>
      <c r="H27" s="24">
        <f>IF($B27="","",IF(C27+D27+E27+G27=0,"",(C27+D27)/(C27+D27+E27+G27)))</f>
        <v/>
      </c>
      <c r="I27" s="25">
        <f>IF($B27="","",N('Janvier'!AO29)+N('Février'!AO29)+N('Mars'!AO29)+N('Avril'!AO29)+N('Mai'!AO29)+N('Juin'!AO29)+N('Juillet'!AO29)+N('Août'!AO29)+N('Septembre'!AO29)+N('Octobre'!AO29)+N('Novembre'!AO29)+N('Décembre'!AO29))</f>
        <v/>
      </c>
    </row>
    <row r="28">
      <c r="A28" s="18">
        <f>IF('Employés'!B28="","",'Employés'!A28)</f>
        <v/>
      </c>
      <c r="B28" s="26">
        <f>IF('Employés'!B28="","",'Employés'!B28)</f>
        <v/>
      </c>
      <c r="C28" s="27">
        <f>IF($B28="","",N('Janvier'!AI30)+N('Février'!AI30)+N('Mars'!AI30)+N('Avril'!AI30)+N('Mai'!AI30)+N('Juin'!AI30)+N('Juillet'!AI30)+N('Août'!AI30)+N('Septembre'!AI30)+N('Octobre'!AI30)+N('Novembre'!AI30)+N('Décembre'!AI30))</f>
        <v/>
      </c>
      <c r="D28" s="27">
        <f>IF($B28="","",N('Janvier'!AJ30)+N('Février'!AJ30)+N('Mars'!AJ30)+N('Avril'!AJ30)+N('Mai'!AJ30)+N('Juin'!AJ30)+N('Juillet'!AJ30)+N('Août'!AJ30)+N('Septembre'!AJ30)+N('Octobre'!AJ30)+N('Novembre'!AJ30)+N('Décembre'!AJ30))</f>
        <v/>
      </c>
      <c r="E28" s="27">
        <f>IF($B28="","",N('Janvier'!AK30)+N('Février'!AK30)+N('Mars'!AK30)+N('Avril'!AK30)+N('Mai'!AK30)+N('Juin'!AK30)+N('Juillet'!AK30)+N('Août'!AK30)+N('Septembre'!AK30)+N('Octobre'!AK30)+N('Novembre'!AK30)+N('Décembre'!AK30))</f>
        <v/>
      </c>
      <c r="F28" s="27">
        <f>IF($B28="","",N('Janvier'!AL30)+N('Février'!AL30)+N('Mars'!AL30)+N('Avril'!AL30)+N('Mai'!AL30)+N('Juin'!AL30)+N('Juillet'!AL30)+N('Août'!AL30)+N('Septembre'!AL30)+N('Octobre'!AL30)+N('Novembre'!AL30)+N('Décembre'!AL30))</f>
        <v/>
      </c>
      <c r="G28" s="27">
        <f>IF($B28="","",N('Janvier'!AM30)+N('Février'!AM30)+N('Mars'!AM30)+N('Avril'!AM30)+N('Mai'!AM30)+N('Juin'!AM30)+N('Juillet'!AM30)+N('Août'!AM30)+N('Septembre'!AM30)+N('Octobre'!AM30)+N('Novembre'!AM30)+N('Décembre'!AM30))</f>
        <v/>
      </c>
      <c r="H28" s="28">
        <f>IF($B28="","",IF(C28+D28+E28+G28=0,"",(C28+D28)/(C28+D28+E28+G28)))</f>
        <v/>
      </c>
      <c r="I28" s="29">
        <f>IF($B28="","",N('Janvier'!AO30)+N('Février'!AO30)+N('Mars'!AO30)+N('Avril'!AO30)+N('Mai'!AO30)+N('Juin'!AO30)+N('Juillet'!AO30)+N('Août'!AO30)+N('Septembre'!AO30)+N('Octobre'!AO30)+N('Novembre'!AO30)+N('Décembre'!AO30))</f>
        <v/>
      </c>
    </row>
    <row r="29">
      <c r="A29" s="15">
        <f>IF('Employés'!B29="","",'Employés'!A29)</f>
        <v/>
      </c>
      <c r="B29" s="22">
        <f>IF('Employés'!B29="","",'Employés'!B29)</f>
        <v/>
      </c>
      <c r="C29" s="23">
        <f>IF($B29="","",N('Janvier'!AI31)+N('Février'!AI31)+N('Mars'!AI31)+N('Avril'!AI31)+N('Mai'!AI31)+N('Juin'!AI31)+N('Juillet'!AI31)+N('Août'!AI31)+N('Septembre'!AI31)+N('Octobre'!AI31)+N('Novembre'!AI31)+N('Décembre'!AI31))</f>
        <v/>
      </c>
      <c r="D29" s="23">
        <f>IF($B29="","",N('Janvier'!AJ31)+N('Février'!AJ31)+N('Mars'!AJ31)+N('Avril'!AJ31)+N('Mai'!AJ31)+N('Juin'!AJ31)+N('Juillet'!AJ31)+N('Août'!AJ31)+N('Septembre'!AJ31)+N('Octobre'!AJ31)+N('Novembre'!AJ31)+N('Décembre'!AJ31))</f>
        <v/>
      </c>
      <c r="E29" s="23">
        <f>IF($B29="","",N('Janvier'!AK31)+N('Février'!AK31)+N('Mars'!AK31)+N('Avril'!AK31)+N('Mai'!AK31)+N('Juin'!AK31)+N('Juillet'!AK31)+N('Août'!AK31)+N('Septembre'!AK31)+N('Octobre'!AK31)+N('Novembre'!AK31)+N('Décembre'!AK31))</f>
        <v/>
      </c>
      <c r="F29" s="23">
        <f>IF($B29="","",N('Janvier'!AL31)+N('Février'!AL31)+N('Mars'!AL31)+N('Avril'!AL31)+N('Mai'!AL31)+N('Juin'!AL31)+N('Juillet'!AL31)+N('Août'!AL31)+N('Septembre'!AL31)+N('Octobre'!AL31)+N('Novembre'!AL31)+N('Décembre'!AL31))</f>
        <v/>
      </c>
      <c r="G29" s="23">
        <f>IF($B29="","",N('Janvier'!AM31)+N('Février'!AM31)+N('Mars'!AM31)+N('Avril'!AM31)+N('Mai'!AM31)+N('Juin'!AM31)+N('Juillet'!AM31)+N('Août'!AM31)+N('Septembre'!AM31)+N('Octobre'!AM31)+N('Novembre'!AM31)+N('Décembre'!AM31))</f>
        <v/>
      </c>
      <c r="H29" s="24">
        <f>IF($B29="","",IF(C29+D29+E29+G29=0,"",(C29+D29)/(C29+D29+E29+G29)))</f>
        <v/>
      </c>
      <c r="I29" s="25">
        <f>IF($B29="","",N('Janvier'!AO31)+N('Février'!AO31)+N('Mars'!AO31)+N('Avril'!AO31)+N('Mai'!AO31)+N('Juin'!AO31)+N('Juillet'!AO31)+N('Août'!AO31)+N('Septembre'!AO31)+N('Octobre'!AO31)+N('Novembre'!AO31)+N('Décembre'!AO31))</f>
        <v/>
      </c>
    </row>
    <row r="30">
      <c r="A30" s="18">
        <f>IF('Employés'!B30="","",'Employés'!A30)</f>
        <v/>
      </c>
      <c r="B30" s="26">
        <f>IF('Employés'!B30="","",'Employés'!B30)</f>
        <v/>
      </c>
      <c r="C30" s="27">
        <f>IF($B30="","",N('Janvier'!AI32)+N('Février'!AI32)+N('Mars'!AI32)+N('Avril'!AI32)+N('Mai'!AI32)+N('Juin'!AI32)+N('Juillet'!AI32)+N('Août'!AI32)+N('Septembre'!AI32)+N('Octobre'!AI32)+N('Novembre'!AI32)+N('Décembre'!AI32))</f>
        <v/>
      </c>
      <c r="D30" s="27">
        <f>IF($B30="","",N('Janvier'!AJ32)+N('Février'!AJ32)+N('Mars'!AJ32)+N('Avril'!AJ32)+N('Mai'!AJ32)+N('Juin'!AJ32)+N('Juillet'!AJ32)+N('Août'!AJ32)+N('Septembre'!AJ32)+N('Octobre'!AJ32)+N('Novembre'!AJ32)+N('Décembre'!AJ32))</f>
        <v/>
      </c>
      <c r="E30" s="27">
        <f>IF($B30="","",N('Janvier'!AK32)+N('Février'!AK32)+N('Mars'!AK32)+N('Avril'!AK32)+N('Mai'!AK32)+N('Juin'!AK32)+N('Juillet'!AK32)+N('Août'!AK32)+N('Septembre'!AK32)+N('Octobre'!AK32)+N('Novembre'!AK32)+N('Décembre'!AK32))</f>
        <v/>
      </c>
      <c r="F30" s="27">
        <f>IF($B30="","",N('Janvier'!AL32)+N('Février'!AL32)+N('Mars'!AL32)+N('Avril'!AL32)+N('Mai'!AL32)+N('Juin'!AL32)+N('Juillet'!AL32)+N('Août'!AL32)+N('Septembre'!AL32)+N('Octobre'!AL32)+N('Novembre'!AL32)+N('Décembre'!AL32))</f>
        <v/>
      </c>
      <c r="G30" s="27">
        <f>IF($B30="","",N('Janvier'!AM32)+N('Février'!AM32)+N('Mars'!AM32)+N('Avril'!AM32)+N('Mai'!AM32)+N('Juin'!AM32)+N('Juillet'!AM32)+N('Août'!AM32)+N('Septembre'!AM32)+N('Octobre'!AM32)+N('Novembre'!AM32)+N('Décembre'!AM32))</f>
        <v/>
      </c>
      <c r="H30" s="28">
        <f>IF($B30="","",IF(C30+D30+E30+G30=0,"",(C30+D30)/(C30+D30+E30+G30)))</f>
        <v/>
      </c>
      <c r="I30" s="29">
        <f>IF($B30="","",N('Janvier'!AO32)+N('Février'!AO32)+N('Mars'!AO32)+N('Avril'!AO32)+N('Mai'!AO32)+N('Juin'!AO32)+N('Juillet'!AO32)+N('Août'!AO32)+N('Septembre'!AO32)+N('Octobre'!AO32)+N('Novembre'!AO32)+N('Décembre'!AO32))</f>
        <v/>
      </c>
    </row>
    <row r="31">
      <c r="A31" s="15">
        <f>IF('Employés'!B31="","",'Employés'!A31)</f>
        <v/>
      </c>
      <c r="B31" s="22">
        <f>IF('Employés'!B31="","",'Employés'!B31)</f>
        <v/>
      </c>
      <c r="C31" s="23">
        <f>IF($B31="","",N('Janvier'!AI33)+N('Février'!AI33)+N('Mars'!AI33)+N('Avril'!AI33)+N('Mai'!AI33)+N('Juin'!AI33)+N('Juillet'!AI33)+N('Août'!AI33)+N('Septembre'!AI33)+N('Octobre'!AI33)+N('Novembre'!AI33)+N('Décembre'!AI33))</f>
        <v/>
      </c>
      <c r="D31" s="23">
        <f>IF($B31="","",N('Janvier'!AJ33)+N('Février'!AJ33)+N('Mars'!AJ33)+N('Avril'!AJ33)+N('Mai'!AJ33)+N('Juin'!AJ33)+N('Juillet'!AJ33)+N('Août'!AJ33)+N('Septembre'!AJ33)+N('Octobre'!AJ33)+N('Novembre'!AJ33)+N('Décembre'!AJ33))</f>
        <v/>
      </c>
      <c r="E31" s="23">
        <f>IF($B31="","",N('Janvier'!AK33)+N('Février'!AK33)+N('Mars'!AK33)+N('Avril'!AK33)+N('Mai'!AK33)+N('Juin'!AK33)+N('Juillet'!AK33)+N('Août'!AK33)+N('Septembre'!AK33)+N('Octobre'!AK33)+N('Novembre'!AK33)+N('Décembre'!AK33))</f>
        <v/>
      </c>
      <c r="F31" s="23">
        <f>IF($B31="","",N('Janvier'!AL33)+N('Février'!AL33)+N('Mars'!AL33)+N('Avril'!AL33)+N('Mai'!AL33)+N('Juin'!AL33)+N('Juillet'!AL33)+N('Août'!AL33)+N('Septembre'!AL33)+N('Octobre'!AL33)+N('Novembre'!AL33)+N('Décembre'!AL33))</f>
        <v/>
      </c>
      <c r="G31" s="23">
        <f>IF($B31="","",N('Janvier'!AM33)+N('Février'!AM33)+N('Mars'!AM33)+N('Avril'!AM33)+N('Mai'!AM33)+N('Juin'!AM33)+N('Juillet'!AM33)+N('Août'!AM33)+N('Septembre'!AM33)+N('Octobre'!AM33)+N('Novembre'!AM33)+N('Décembre'!AM33))</f>
        <v/>
      </c>
      <c r="H31" s="24">
        <f>IF($B31="","",IF(C31+D31+E31+G31=0,"",(C31+D31)/(C31+D31+E31+G31)))</f>
        <v/>
      </c>
      <c r="I31" s="25">
        <f>IF($B31="","",N('Janvier'!AO33)+N('Février'!AO33)+N('Mars'!AO33)+N('Avril'!AO33)+N('Mai'!AO33)+N('Juin'!AO33)+N('Juillet'!AO33)+N('Août'!AO33)+N('Septembre'!AO33)+N('Octobre'!AO33)+N('Novembre'!AO33)+N('Décembre'!AO33))</f>
        <v/>
      </c>
    </row>
    <row r="32">
      <c r="A32" s="18">
        <f>IF('Employés'!B32="","",'Employés'!A32)</f>
        <v/>
      </c>
      <c r="B32" s="26">
        <f>IF('Employés'!B32="","",'Employés'!B32)</f>
        <v/>
      </c>
      <c r="C32" s="27">
        <f>IF($B32="","",N('Janvier'!AI34)+N('Février'!AI34)+N('Mars'!AI34)+N('Avril'!AI34)+N('Mai'!AI34)+N('Juin'!AI34)+N('Juillet'!AI34)+N('Août'!AI34)+N('Septembre'!AI34)+N('Octobre'!AI34)+N('Novembre'!AI34)+N('Décembre'!AI34))</f>
        <v/>
      </c>
      <c r="D32" s="27">
        <f>IF($B32="","",N('Janvier'!AJ34)+N('Février'!AJ34)+N('Mars'!AJ34)+N('Avril'!AJ34)+N('Mai'!AJ34)+N('Juin'!AJ34)+N('Juillet'!AJ34)+N('Août'!AJ34)+N('Septembre'!AJ34)+N('Octobre'!AJ34)+N('Novembre'!AJ34)+N('Décembre'!AJ34))</f>
        <v/>
      </c>
      <c r="E32" s="27">
        <f>IF($B32="","",N('Janvier'!AK34)+N('Février'!AK34)+N('Mars'!AK34)+N('Avril'!AK34)+N('Mai'!AK34)+N('Juin'!AK34)+N('Juillet'!AK34)+N('Août'!AK34)+N('Septembre'!AK34)+N('Octobre'!AK34)+N('Novembre'!AK34)+N('Décembre'!AK34))</f>
        <v/>
      </c>
      <c r="F32" s="27">
        <f>IF($B32="","",N('Janvier'!AL34)+N('Février'!AL34)+N('Mars'!AL34)+N('Avril'!AL34)+N('Mai'!AL34)+N('Juin'!AL34)+N('Juillet'!AL34)+N('Août'!AL34)+N('Septembre'!AL34)+N('Octobre'!AL34)+N('Novembre'!AL34)+N('Décembre'!AL34))</f>
        <v/>
      </c>
      <c r="G32" s="27">
        <f>IF($B32="","",N('Janvier'!AM34)+N('Février'!AM34)+N('Mars'!AM34)+N('Avril'!AM34)+N('Mai'!AM34)+N('Juin'!AM34)+N('Juillet'!AM34)+N('Août'!AM34)+N('Septembre'!AM34)+N('Octobre'!AM34)+N('Novembre'!AM34)+N('Décembre'!AM34))</f>
        <v/>
      </c>
      <c r="H32" s="28">
        <f>IF($B32="","",IF(C32+D32+E32+G32=0,"",(C32+D32)/(C32+D32+E32+G32)))</f>
        <v/>
      </c>
      <c r="I32" s="29">
        <f>IF($B32="","",N('Janvier'!AO34)+N('Février'!AO34)+N('Mars'!AO34)+N('Avril'!AO34)+N('Mai'!AO34)+N('Juin'!AO34)+N('Juillet'!AO34)+N('Août'!AO34)+N('Septembre'!AO34)+N('Octobre'!AO34)+N('Novembre'!AO34)+N('Décembre'!AO34))</f>
        <v/>
      </c>
    </row>
    <row r="33">
      <c r="A33" s="15">
        <f>IF('Employés'!B33="","",'Employés'!A33)</f>
        <v/>
      </c>
      <c r="B33" s="22">
        <f>IF('Employés'!B33="","",'Employés'!B33)</f>
        <v/>
      </c>
      <c r="C33" s="23">
        <f>IF($B33="","",N('Janvier'!AI35)+N('Février'!AI35)+N('Mars'!AI35)+N('Avril'!AI35)+N('Mai'!AI35)+N('Juin'!AI35)+N('Juillet'!AI35)+N('Août'!AI35)+N('Septembre'!AI35)+N('Octobre'!AI35)+N('Novembre'!AI35)+N('Décembre'!AI35))</f>
        <v/>
      </c>
      <c r="D33" s="23">
        <f>IF($B33="","",N('Janvier'!AJ35)+N('Février'!AJ35)+N('Mars'!AJ35)+N('Avril'!AJ35)+N('Mai'!AJ35)+N('Juin'!AJ35)+N('Juillet'!AJ35)+N('Août'!AJ35)+N('Septembre'!AJ35)+N('Octobre'!AJ35)+N('Novembre'!AJ35)+N('Décembre'!AJ35))</f>
        <v/>
      </c>
      <c r="E33" s="23">
        <f>IF($B33="","",N('Janvier'!AK35)+N('Février'!AK35)+N('Mars'!AK35)+N('Avril'!AK35)+N('Mai'!AK35)+N('Juin'!AK35)+N('Juillet'!AK35)+N('Août'!AK35)+N('Septembre'!AK35)+N('Octobre'!AK35)+N('Novembre'!AK35)+N('Décembre'!AK35))</f>
        <v/>
      </c>
      <c r="F33" s="23">
        <f>IF($B33="","",N('Janvier'!AL35)+N('Février'!AL35)+N('Mars'!AL35)+N('Avril'!AL35)+N('Mai'!AL35)+N('Juin'!AL35)+N('Juillet'!AL35)+N('Août'!AL35)+N('Septembre'!AL35)+N('Octobre'!AL35)+N('Novembre'!AL35)+N('Décembre'!AL35))</f>
        <v/>
      </c>
      <c r="G33" s="23">
        <f>IF($B33="","",N('Janvier'!AM35)+N('Février'!AM35)+N('Mars'!AM35)+N('Avril'!AM35)+N('Mai'!AM35)+N('Juin'!AM35)+N('Juillet'!AM35)+N('Août'!AM35)+N('Septembre'!AM35)+N('Octobre'!AM35)+N('Novembre'!AM35)+N('Décembre'!AM35))</f>
        <v/>
      </c>
      <c r="H33" s="24">
        <f>IF($B33="","",IF(C33+D33+E33+G33=0,"",(C33+D33)/(C33+D33+E33+G33)))</f>
        <v/>
      </c>
      <c r="I33" s="25">
        <f>IF($B33="","",N('Janvier'!AO35)+N('Février'!AO35)+N('Mars'!AO35)+N('Avril'!AO35)+N('Mai'!AO35)+N('Juin'!AO35)+N('Juillet'!AO35)+N('Août'!AO35)+N('Septembre'!AO35)+N('Octobre'!AO35)+N('Novembre'!AO35)+N('Décembre'!AO35))</f>
        <v/>
      </c>
    </row>
    <row r="34">
      <c r="A34" s="18">
        <f>IF('Employés'!B34="","",'Employés'!A34)</f>
        <v/>
      </c>
      <c r="B34" s="26">
        <f>IF('Employés'!B34="","",'Employés'!B34)</f>
        <v/>
      </c>
      <c r="C34" s="27">
        <f>IF($B34="","",N('Janvier'!AI36)+N('Février'!AI36)+N('Mars'!AI36)+N('Avril'!AI36)+N('Mai'!AI36)+N('Juin'!AI36)+N('Juillet'!AI36)+N('Août'!AI36)+N('Septembre'!AI36)+N('Octobre'!AI36)+N('Novembre'!AI36)+N('Décembre'!AI36))</f>
        <v/>
      </c>
      <c r="D34" s="27">
        <f>IF($B34="","",N('Janvier'!AJ36)+N('Février'!AJ36)+N('Mars'!AJ36)+N('Avril'!AJ36)+N('Mai'!AJ36)+N('Juin'!AJ36)+N('Juillet'!AJ36)+N('Août'!AJ36)+N('Septembre'!AJ36)+N('Octobre'!AJ36)+N('Novembre'!AJ36)+N('Décembre'!AJ36))</f>
        <v/>
      </c>
      <c r="E34" s="27">
        <f>IF($B34="","",N('Janvier'!AK36)+N('Février'!AK36)+N('Mars'!AK36)+N('Avril'!AK36)+N('Mai'!AK36)+N('Juin'!AK36)+N('Juillet'!AK36)+N('Août'!AK36)+N('Septembre'!AK36)+N('Octobre'!AK36)+N('Novembre'!AK36)+N('Décembre'!AK36))</f>
        <v/>
      </c>
      <c r="F34" s="27">
        <f>IF($B34="","",N('Janvier'!AL36)+N('Février'!AL36)+N('Mars'!AL36)+N('Avril'!AL36)+N('Mai'!AL36)+N('Juin'!AL36)+N('Juillet'!AL36)+N('Août'!AL36)+N('Septembre'!AL36)+N('Octobre'!AL36)+N('Novembre'!AL36)+N('Décembre'!AL36))</f>
        <v/>
      </c>
      <c r="G34" s="27">
        <f>IF($B34="","",N('Janvier'!AM36)+N('Février'!AM36)+N('Mars'!AM36)+N('Avril'!AM36)+N('Mai'!AM36)+N('Juin'!AM36)+N('Juillet'!AM36)+N('Août'!AM36)+N('Septembre'!AM36)+N('Octobre'!AM36)+N('Novembre'!AM36)+N('Décembre'!AM36))</f>
        <v/>
      </c>
      <c r="H34" s="28">
        <f>IF($B34="","",IF(C34+D34+E34+G34=0,"",(C34+D34)/(C34+D34+E34+G34)))</f>
        <v/>
      </c>
      <c r="I34" s="29">
        <f>IF($B34="","",N('Janvier'!AO36)+N('Février'!AO36)+N('Mars'!AO36)+N('Avril'!AO36)+N('Mai'!AO36)+N('Juin'!AO36)+N('Juillet'!AO36)+N('Août'!AO36)+N('Septembre'!AO36)+N('Octobre'!AO36)+N('Novembre'!AO36)+N('Décembre'!AO36))</f>
        <v/>
      </c>
    </row>
  </sheetData>
  <mergeCells count="2">
    <mergeCell ref="A1:I1"/>
    <mergeCell ref="A2:I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AO37"/>
  <sheetViews>
    <sheetView zoomScale="90" workbookViewId="0">
      <pane xSplit="3" ySplit="6" topLeftCell="D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24" customWidth="1" min="2" max="2"/>
    <col width="14" customWidth="1" min="3" max="3"/>
    <col width="4.6" customWidth="1" min="4" max="4"/>
    <col width="4.6" customWidth="1" min="5" max="5"/>
    <col width="4.6" customWidth="1" min="6" max="6"/>
    <col width="4.6" customWidth="1" min="7" max="7"/>
    <col width="4.6" customWidth="1" min="8" max="8"/>
    <col width="4.6" customWidth="1" min="9" max="9"/>
    <col width="4.6" customWidth="1" min="10" max="10"/>
    <col width="4.6" customWidth="1" min="11" max="11"/>
    <col width="4.6" customWidth="1" min="12" max="12"/>
    <col width="4.6" customWidth="1" min="13" max="13"/>
    <col width="4.6" customWidth="1" min="14" max="14"/>
    <col width="4.6" customWidth="1" min="15" max="15"/>
    <col width="4.6" customWidth="1" min="16" max="16"/>
    <col width="4.6" customWidth="1" min="17" max="17"/>
    <col width="4.6" customWidth="1" min="18" max="18"/>
    <col width="4.6" customWidth="1" min="19" max="19"/>
    <col width="4.6" customWidth="1" min="20" max="20"/>
    <col width="4.6" customWidth="1" min="21" max="21"/>
    <col width="4.6" customWidth="1" min="22" max="22"/>
    <col width="4.6" customWidth="1" min="23" max="23"/>
    <col width="4.6" customWidth="1" min="24" max="24"/>
    <col width="4.6" customWidth="1" min="25" max="25"/>
    <col width="4.6" customWidth="1" min="26" max="26"/>
    <col width="4.6" customWidth="1" min="27" max="27"/>
    <col width="4.6" customWidth="1" min="28" max="28"/>
    <col width="4.6" customWidth="1" min="29" max="29"/>
    <col width="4.6" customWidth="1" min="30" max="30"/>
    <col width="4.6" customWidth="1" min="31" max="31"/>
    <col width="4.6" customWidth="1" min="32" max="32"/>
    <col width="4.6" customWidth="1" min="33" max="33"/>
    <col width="4.6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13" customWidth="1" min="40" max="40"/>
    <col width="13" customWidth="1" min="41" max="41"/>
  </cols>
  <sheetData>
    <row r="1" ht="34" customHeight="1">
      <c r="A1" s="1">
        <f>'Paramètres'!$B$4&amp;" · Pointage de Janvier "&amp;'Paramètres'!$B$5</f>
        <v/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</row>
    <row r="2" ht="20" customHeight="1">
      <c r="A2" s="3" t="inlineStr">
        <is>
          <t>Outil offert par Logia (DWTS) · Un logiciel sur mesure pour votre entreprise ? WhatsApp 062 67 14 45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2" t="n"/>
      <c r="AL2" s="2" t="n"/>
      <c r="AM2" s="2" t="n"/>
      <c r="AN2" s="2" t="n"/>
      <c r="AO2" s="2" t="n"/>
    </row>
    <row r="3">
      <c r="A3" s="6" t="inlineStr">
        <is>
          <t>Codes :</t>
        </is>
      </c>
      <c r="D3" s="30" t="inlineStr">
        <is>
          <t>P = Présent</t>
        </is>
      </c>
      <c r="I3" s="31" t="inlineStr">
        <is>
          <t>R = En retard</t>
        </is>
      </c>
      <c r="N3" s="32" t="inlineStr">
        <is>
          <t>A = Absent</t>
        </is>
      </c>
      <c r="S3" s="33" t="inlineStr">
        <is>
          <t>C = Congé</t>
        </is>
      </c>
      <c r="X3" s="34" t="inlineStr">
        <is>
          <t>M = Malade</t>
        </is>
      </c>
    </row>
    <row r="5" ht="22" customHeight="1">
      <c r="A5" s="35" t="inlineStr">
        <is>
          <t>ID</t>
        </is>
      </c>
      <c r="B5" s="35" t="inlineStr">
        <is>
          <t>Nom</t>
        </is>
      </c>
      <c r="C5" s="35" t="inlineStr">
        <is>
          <t>Poste</t>
        </is>
      </c>
      <c r="D5" s="35">
        <f>IF(MONTH(DATE('Paramètres'!$B$5,1,1))=1,1,"")</f>
        <v/>
      </c>
      <c r="E5" s="35">
        <f>IF(MONTH(DATE('Paramètres'!$B$5,1,2))=1,2,"")</f>
        <v/>
      </c>
      <c r="F5" s="35">
        <f>IF(MONTH(DATE('Paramètres'!$B$5,1,3))=1,3,"")</f>
        <v/>
      </c>
      <c r="G5" s="35">
        <f>IF(MONTH(DATE('Paramètres'!$B$5,1,4))=1,4,"")</f>
        <v/>
      </c>
      <c r="H5" s="35">
        <f>IF(MONTH(DATE('Paramètres'!$B$5,1,5))=1,5,"")</f>
        <v/>
      </c>
      <c r="I5" s="35">
        <f>IF(MONTH(DATE('Paramètres'!$B$5,1,6))=1,6,"")</f>
        <v/>
      </c>
      <c r="J5" s="35">
        <f>IF(MONTH(DATE('Paramètres'!$B$5,1,7))=1,7,"")</f>
        <v/>
      </c>
      <c r="K5" s="35">
        <f>IF(MONTH(DATE('Paramètres'!$B$5,1,8))=1,8,"")</f>
        <v/>
      </c>
      <c r="L5" s="35">
        <f>IF(MONTH(DATE('Paramètres'!$B$5,1,9))=1,9,"")</f>
        <v/>
      </c>
      <c r="M5" s="35">
        <f>IF(MONTH(DATE('Paramètres'!$B$5,1,10))=1,10,"")</f>
        <v/>
      </c>
      <c r="N5" s="35">
        <f>IF(MONTH(DATE('Paramètres'!$B$5,1,11))=1,11,"")</f>
        <v/>
      </c>
      <c r="O5" s="35">
        <f>IF(MONTH(DATE('Paramètres'!$B$5,1,12))=1,12,"")</f>
        <v/>
      </c>
      <c r="P5" s="35">
        <f>IF(MONTH(DATE('Paramètres'!$B$5,1,13))=1,13,"")</f>
        <v/>
      </c>
      <c r="Q5" s="35">
        <f>IF(MONTH(DATE('Paramètres'!$B$5,1,14))=1,14,"")</f>
        <v/>
      </c>
      <c r="R5" s="35">
        <f>IF(MONTH(DATE('Paramètres'!$B$5,1,15))=1,15,"")</f>
        <v/>
      </c>
      <c r="S5" s="35">
        <f>IF(MONTH(DATE('Paramètres'!$B$5,1,16))=1,16,"")</f>
        <v/>
      </c>
      <c r="T5" s="35">
        <f>IF(MONTH(DATE('Paramètres'!$B$5,1,17))=1,17,"")</f>
        <v/>
      </c>
      <c r="U5" s="35">
        <f>IF(MONTH(DATE('Paramètres'!$B$5,1,18))=1,18,"")</f>
        <v/>
      </c>
      <c r="V5" s="35">
        <f>IF(MONTH(DATE('Paramètres'!$B$5,1,19))=1,19,"")</f>
        <v/>
      </c>
      <c r="W5" s="35">
        <f>IF(MONTH(DATE('Paramètres'!$B$5,1,20))=1,20,"")</f>
        <v/>
      </c>
      <c r="X5" s="35">
        <f>IF(MONTH(DATE('Paramètres'!$B$5,1,21))=1,21,"")</f>
        <v/>
      </c>
      <c r="Y5" s="35">
        <f>IF(MONTH(DATE('Paramètres'!$B$5,1,22))=1,22,"")</f>
        <v/>
      </c>
      <c r="Z5" s="35">
        <f>IF(MONTH(DATE('Paramètres'!$B$5,1,23))=1,23,"")</f>
        <v/>
      </c>
      <c r="AA5" s="35">
        <f>IF(MONTH(DATE('Paramètres'!$B$5,1,24))=1,24,"")</f>
        <v/>
      </c>
      <c r="AB5" s="35">
        <f>IF(MONTH(DATE('Paramètres'!$B$5,1,25))=1,25,"")</f>
        <v/>
      </c>
      <c r="AC5" s="35">
        <f>IF(MONTH(DATE('Paramètres'!$B$5,1,26))=1,26,"")</f>
        <v/>
      </c>
      <c r="AD5" s="35">
        <f>IF(MONTH(DATE('Paramètres'!$B$5,1,27))=1,27,"")</f>
        <v/>
      </c>
      <c r="AE5" s="35">
        <f>IF(MONTH(DATE('Paramètres'!$B$5,1,28))=1,28,"")</f>
        <v/>
      </c>
      <c r="AF5" s="35">
        <f>IF(MONTH(DATE('Paramètres'!$B$5,1,29))=1,29,"")</f>
        <v/>
      </c>
      <c r="AG5" s="35">
        <f>IF(MONTH(DATE('Paramètres'!$B$5,1,30))=1,30,"")</f>
        <v/>
      </c>
      <c r="AH5" s="35">
        <f>IF(MONTH(DATE('Paramètres'!$B$5,1,31))=1,31,"")</f>
        <v/>
      </c>
      <c r="AI5" s="36" t="inlineStr">
        <is>
          <t>Présent</t>
        </is>
      </c>
      <c r="AJ5" s="36" t="inlineStr">
        <is>
          <t>Retard</t>
        </is>
      </c>
      <c r="AK5" s="36" t="inlineStr">
        <is>
          <t>Absent</t>
        </is>
      </c>
      <c r="AL5" s="36" t="inlineStr">
        <is>
          <t>Congé</t>
        </is>
      </c>
      <c r="AM5" s="36" t="inlineStr">
        <is>
          <t>Malade</t>
        </is>
      </c>
      <c r="AN5" s="36" t="inlineStr">
        <is>
          <t>Taux de présence</t>
        </is>
      </c>
      <c r="AO5" s="36" t="inlineStr">
        <is>
          <t>Salaire dû</t>
        </is>
      </c>
    </row>
    <row r="6" ht="22" customHeight="1">
      <c r="A6" s="35" t="n"/>
      <c r="B6" s="35" t="n"/>
      <c r="C6" s="35" t="n"/>
      <c r="D6" s="35">
        <f>IF(D5="","",CHOOSE(WEEKDAY(DATE('Paramètres'!$B$5,1,1),2),"Lun","Mar","Mer","Jeu","Ven","Sam","Dim"))</f>
        <v/>
      </c>
      <c r="E6" s="35">
        <f>IF(E5="","",CHOOSE(WEEKDAY(DATE('Paramètres'!$B$5,1,2),2),"Lun","Mar","Mer","Jeu","Ven","Sam","Dim"))</f>
        <v/>
      </c>
      <c r="F6" s="35">
        <f>IF(F5="","",CHOOSE(WEEKDAY(DATE('Paramètres'!$B$5,1,3),2),"Lun","Mar","Mer","Jeu","Ven","Sam","Dim"))</f>
        <v/>
      </c>
      <c r="G6" s="35">
        <f>IF(G5="","",CHOOSE(WEEKDAY(DATE('Paramètres'!$B$5,1,4),2),"Lun","Mar","Mer","Jeu","Ven","Sam","Dim"))</f>
        <v/>
      </c>
      <c r="H6" s="35">
        <f>IF(H5="","",CHOOSE(WEEKDAY(DATE('Paramètres'!$B$5,1,5),2),"Lun","Mar","Mer","Jeu","Ven","Sam","Dim"))</f>
        <v/>
      </c>
      <c r="I6" s="35">
        <f>IF(I5="","",CHOOSE(WEEKDAY(DATE('Paramètres'!$B$5,1,6),2),"Lun","Mar","Mer","Jeu","Ven","Sam","Dim"))</f>
        <v/>
      </c>
      <c r="J6" s="35">
        <f>IF(J5="","",CHOOSE(WEEKDAY(DATE('Paramètres'!$B$5,1,7),2),"Lun","Mar","Mer","Jeu","Ven","Sam","Dim"))</f>
        <v/>
      </c>
      <c r="K6" s="35">
        <f>IF(K5="","",CHOOSE(WEEKDAY(DATE('Paramètres'!$B$5,1,8),2),"Lun","Mar","Mer","Jeu","Ven","Sam","Dim"))</f>
        <v/>
      </c>
      <c r="L6" s="35">
        <f>IF(L5="","",CHOOSE(WEEKDAY(DATE('Paramètres'!$B$5,1,9),2),"Lun","Mar","Mer","Jeu","Ven","Sam","Dim"))</f>
        <v/>
      </c>
      <c r="M6" s="35">
        <f>IF(M5="","",CHOOSE(WEEKDAY(DATE('Paramètres'!$B$5,1,10),2),"Lun","Mar","Mer","Jeu","Ven","Sam","Dim"))</f>
        <v/>
      </c>
      <c r="N6" s="35">
        <f>IF(N5="","",CHOOSE(WEEKDAY(DATE('Paramètres'!$B$5,1,11),2),"Lun","Mar","Mer","Jeu","Ven","Sam","Dim"))</f>
        <v/>
      </c>
      <c r="O6" s="35">
        <f>IF(O5="","",CHOOSE(WEEKDAY(DATE('Paramètres'!$B$5,1,12),2),"Lun","Mar","Mer","Jeu","Ven","Sam","Dim"))</f>
        <v/>
      </c>
      <c r="P6" s="35">
        <f>IF(P5="","",CHOOSE(WEEKDAY(DATE('Paramètres'!$B$5,1,13),2),"Lun","Mar","Mer","Jeu","Ven","Sam","Dim"))</f>
        <v/>
      </c>
      <c r="Q6" s="35">
        <f>IF(Q5="","",CHOOSE(WEEKDAY(DATE('Paramètres'!$B$5,1,14),2),"Lun","Mar","Mer","Jeu","Ven","Sam","Dim"))</f>
        <v/>
      </c>
      <c r="R6" s="35">
        <f>IF(R5="","",CHOOSE(WEEKDAY(DATE('Paramètres'!$B$5,1,15),2),"Lun","Mar","Mer","Jeu","Ven","Sam","Dim"))</f>
        <v/>
      </c>
      <c r="S6" s="35">
        <f>IF(S5="","",CHOOSE(WEEKDAY(DATE('Paramètres'!$B$5,1,16),2),"Lun","Mar","Mer","Jeu","Ven","Sam","Dim"))</f>
        <v/>
      </c>
      <c r="T6" s="35">
        <f>IF(T5="","",CHOOSE(WEEKDAY(DATE('Paramètres'!$B$5,1,17),2),"Lun","Mar","Mer","Jeu","Ven","Sam","Dim"))</f>
        <v/>
      </c>
      <c r="U6" s="35">
        <f>IF(U5="","",CHOOSE(WEEKDAY(DATE('Paramètres'!$B$5,1,18),2),"Lun","Mar","Mer","Jeu","Ven","Sam","Dim"))</f>
        <v/>
      </c>
      <c r="V6" s="35">
        <f>IF(V5="","",CHOOSE(WEEKDAY(DATE('Paramètres'!$B$5,1,19),2),"Lun","Mar","Mer","Jeu","Ven","Sam","Dim"))</f>
        <v/>
      </c>
      <c r="W6" s="35">
        <f>IF(W5="","",CHOOSE(WEEKDAY(DATE('Paramètres'!$B$5,1,20),2),"Lun","Mar","Mer","Jeu","Ven","Sam","Dim"))</f>
        <v/>
      </c>
      <c r="X6" s="35">
        <f>IF(X5="","",CHOOSE(WEEKDAY(DATE('Paramètres'!$B$5,1,21),2),"Lun","Mar","Mer","Jeu","Ven","Sam","Dim"))</f>
        <v/>
      </c>
      <c r="Y6" s="35">
        <f>IF(Y5="","",CHOOSE(WEEKDAY(DATE('Paramètres'!$B$5,1,22),2),"Lun","Mar","Mer","Jeu","Ven","Sam","Dim"))</f>
        <v/>
      </c>
      <c r="Z6" s="35">
        <f>IF(Z5="","",CHOOSE(WEEKDAY(DATE('Paramètres'!$B$5,1,23),2),"Lun","Mar","Mer","Jeu","Ven","Sam","Dim"))</f>
        <v/>
      </c>
      <c r="AA6" s="35">
        <f>IF(AA5="","",CHOOSE(WEEKDAY(DATE('Paramètres'!$B$5,1,24),2),"Lun","Mar","Mer","Jeu","Ven","Sam","Dim"))</f>
        <v/>
      </c>
      <c r="AB6" s="35">
        <f>IF(AB5="","",CHOOSE(WEEKDAY(DATE('Paramètres'!$B$5,1,25),2),"Lun","Mar","Mer","Jeu","Ven","Sam","Dim"))</f>
        <v/>
      </c>
      <c r="AC6" s="35">
        <f>IF(AC5="","",CHOOSE(WEEKDAY(DATE('Paramètres'!$B$5,1,26),2),"Lun","Mar","Mer","Jeu","Ven","Sam","Dim"))</f>
        <v/>
      </c>
      <c r="AD6" s="35">
        <f>IF(AD5="","",CHOOSE(WEEKDAY(DATE('Paramètres'!$B$5,1,27),2),"Lun","Mar","Mer","Jeu","Ven","Sam","Dim"))</f>
        <v/>
      </c>
      <c r="AE6" s="35">
        <f>IF(AE5="","",CHOOSE(WEEKDAY(DATE('Paramètres'!$B$5,1,28),2),"Lun","Mar","Mer","Jeu","Ven","Sam","Dim"))</f>
        <v/>
      </c>
      <c r="AF6" s="35">
        <f>IF(AF5="","",CHOOSE(WEEKDAY(DATE('Paramètres'!$B$5,1,29),2),"Lun","Mar","Mer","Jeu","Ven","Sam","Dim"))</f>
        <v/>
      </c>
      <c r="AG6" s="35">
        <f>IF(AG5="","",CHOOSE(WEEKDAY(DATE('Paramètres'!$B$5,1,30),2),"Lun","Mar","Mer","Jeu","Ven","Sam","Dim"))</f>
        <v/>
      </c>
      <c r="AH6" s="35">
        <f>IF(AH5="","",CHOOSE(WEEKDAY(DATE('Paramètres'!$B$5,1,31),2),"Lun","Mar","Mer","Jeu","Ven","Sam","Dim"))</f>
        <v/>
      </c>
      <c r="AI6" s="36" t="n"/>
      <c r="AJ6" s="36" t="n"/>
      <c r="AK6" s="36" t="n"/>
      <c r="AL6" s="36" t="n"/>
      <c r="AM6" s="36" t="n"/>
      <c r="AN6" s="36" t="n"/>
      <c r="AO6" s="36" t="n"/>
    </row>
    <row r="7" ht="20" customHeight="1">
      <c r="A7" s="37">
        <f>IF('Employés'!B5="","",'Employés'!A5)</f>
        <v/>
      </c>
      <c r="B7" s="38">
        <f>IF('Employés'!B5="","",'Employés'!B5)</f>
        <v/>
      </c>
      <c r="C7" s="38">
        <f>IF('Employés'!C5="","",'Employés'!C5)</f>
        <v/>
      </c>
      <c r="D7" s="37" t="n"/>
      <c r="E7" s="37" t="n"/>
      <c r="F7" s="37" t="n"/>
      <c r="G7" s="37" t="n"/>
      <c r="H7" s="37" t="n"/>
      <c r="I7" s="37" t="n"/>
      <c r="J7" s="37" t="n"/>
      <c r="K7" s="37" t="n"/>
      <c r="L7" s="37" t="n"/>
      <c r="M7" s="37" t="n"/>
      <c r="N7" s="37" t="n"/>
      <c r="O7" s="37" t="n"/>
      <c r="P7" s="37" t="n"/>
      <c r="Q7" s="37" t="n"/>
      <c r="R7" s="37" t="n"/>
      <c r="S7" s="37" t="n"/>
      <c r="T7" s="37" t="n"/>
      <c r="U7" s="37" t="n"/>
      <c r="V7" s="37" t="n"/>
      <c r="W7" s="37" t="n"/>
      <c r="X7" s="37" t="n"/>
      <c r="Y7" s="37" t="n"/>
      <c r="Z7" s="37" t="n"/>
      <c r="AA7" s="37" t="n"/>
      <c r="AB7" s="37" t="n"/>
      <c r="AC7" s="37" t="n"/>
      <c r="AD7" s="37" t="n"/>
      <c r="AE7" s="37" t="n"/>
      <c r="AF7" s="37" t="n"/>
      <c r="AG7" s="37" t="n"/>
      <c r="AH7" s="37" t="n"/>
      <c r="AI7" s="39">
        <f>IF($B7="","",COUNTIF(D7:AH7,"P"))</f>
        <v/>
      </c>
      <c r="AJ7" s="39">
        <f>IF($B7="","",COUNTIF(D7:AH7,"R"))</f>
        <v/>
      </c>
      <c r="AK7" s="39">
        <f>IF($B7="","",COUNTIF(D7:AH7,"A"))</f>
        <v/>
      </c>
      <c r="AL7" s="39">
        <f>IF($B7="","",COUNTIF(D7:AH7,"C"))</f>
        <v/>
      </c>
      <c r="AM7" s="39">
        <f>IF($B7="","",COUNTIF(D7:AH7,"M"))</f>
        <v/>
      </c>
      <c r="AN7" s="40">
        <f>IF($B7="","",IF(AI7+AJ7+AK7+AM7=0,"",(AI7+AJ7)/(AI7+AJ7+AK7+AM7)))</f>
        <v/>
      </c>
      <c r="AO7" s="41">
        <f>IF($B7="","",IF('Employés'!D5="","",(AI7+AJ7+AL7)*'Employés'!D5))</f>
        <v/>
      </c>
    </row>
    <row r="8" ht="20" customHeight="1">
      <c r="A8" s="37">
        <f>IF('Employés'!B6="","",'Employés'!A6)</f>
        <v/>
      </c>
      <c r="B8" s="38">
        <f>IF('Employés'!B6="","",'Employés'!B6)</f>
        <v/>
      </c>
      <c r="C8" s="38">
        <f>IF('Employés'!C6="","",'Employés'!C6)</f>
        <v/>
      </c>
      <c r="D8" s="37" t="n"/>
      <c r="E8" s="37" t="n"/>
      <c r="F8" s="37" t="n"/>
      <c r="G8" s="37" t="n"/>
      <c r="H8" s="37" t="n"/>
      <c r="I8" s="37" t="n"/>
      <c r="J8" s="37" t="n"/>
      <c r="K8" s="37" t="n"/>
      <c r="L8" s="37" t="n"/>
      <c r="M8" s="37" t="n"/>
      <c r="N8" s="37" t="n"/>
      <c r="O8" s="37" t="n"/>
      <c r="P8" s="37" t="n"/>
      <c r="Q8" s="37" t="n"/>
      <c r="R8" s="37" t="n"/>
      <c r="S8" s="37" t="n"/>
      <c r="T8" s="37" t="n"/>
      <c r="U8" s="37" t="n"/>
      <c r="V8" s="37" t="n"/>
      <c r="W8" s="37" t="n"/>
      <c r="X8" s="37" t="n"/>
      <c r="Y8" s="37" t="n"/>
      <c r="Z8" s="37" t="n"/>
      <c r="AA8" s="37" t="n"/>
      <c r="AB8" s="37" t="n"/>
      <c r="AC8" s="37" t="n"/>
      <c r="AD8" s="37" t="n"/>
      <c r="AE8" s="37" t="n"/>
      <c r="AF8" s="37" t="n"/>
      <c r="AG8" s="37" t="n"/>
      <c r="AH8" s="37" t="n"/>
      <c r="AI8" s="39">
        <f>IF($B8="","",COUNTIF(D8:AH8,"P"))</f>
        <v/>
      </c>
      <c r="AJ8" s="39">
        <f>IF($B8="","",COUNTIF(D8:AH8,"R"))</f>
        <v/>
      </c>
      <c r="AK8" s="39">
        <f>IF($B8="","",COUNTIF(D8:AH8,"A"))</f>
        <v/>
      </c>
      <c r="AL8" s="39">
        <f>IF($B8="","",COUNTIF(D8:AH8,"C"))</f>
        <v/>
      </c>
      <c r="AM8" s="39">
        <f>IF($B8="","",COUNTIF(D8:AH8,"M"))</f>
        <v/>
      </c>
      <c r="AN8" s="40">
        <f>IF($B8="","",IF(AI8+AJ8+AK8+AM8=0,"",(AI8+AJ8)/(AI8+AJ8+AK8+AM8)))</f>
        <v/>
      </c>
      <c r="AO8" s="41">
        <f>IF($B8="","",IF('Employés'!D6="","",(AI8+AJ8+AL8)*'Employés'!D6))</f>
        <v/>
      </c>
    </row>
    <row r="9" ht="20" customHeight="1">
      <c r="A9" s="37">
        <f>IF('Employés'!B7="","",'Employés'!A7)</f>
        <v/>
      </c>
      <c r="B9" s="38">
        <f>IF('Employés'!B7="","",'Employés'!B7)</f>
        <v/>
      </c>
      <c r="C9" s="38">
        <f>IF('Employés'!C7="","",'Employés'!C7)</f>
        <v/>
      </c>
      <c r="D9" s="37" t="n"/>
      <c r="E9" s="37" t="n"/>
      <c r="F9" s="37" t="n"/>
      <c r="G9" s="37" t="n"/>
      <c r="H9" s="37" t="n"/>
      <c r="I9" s="37" t="n"/>
      <c r="J9" s="37" t="n"/>
      <c r="K9" s="37" t="n"/>
      <c r="L9" s="37" t="n"/>
      <c r="M9" s="37" t="n"/>
      <c r="N9" s="37" t="n"/>
      <c r="O9" s="37" t="n"/>
      <c r="P9" s="37" t="n"/>
      <c r="Q9" s="37" t="n"/>
      <c r="R9" s="37" t="n"/>
      <c r="S9" s="37" t="n"/>
      <c r="T9" s="37" t="n"/>
      <c r="U9" s="37" t="n"/>
      <c r="V9" s="37" t="n"/>
      <c r="W9" s="37" t="n"/>
      <c r="X9" s="37" t="n"/>
      <c r="Y9" s="37" t="n"/>
      <c r="Z9" s="37" t="n"/>
      <c r="AA9" s="37" t="n"/>
      <c r="AB9" s="37" t="n"/>
      <c r="AC9" s="37" t="n"/>
      <c r="AD9" s="37" t="n"/>
      <c r="AE9" s="37" t="n"/>
      <c r="AF9" s="37" t="n"/>
      <c r="AG9" s="37" t="n"/>
      <c r="AH9" s="37" t="n"/>
      <c r="AI9" s="39">
        <f>IF($B9="","",COUNTIF(D9:AH9,"P"))</f>
        <v/>
      </c>
      <c r="AJ9" s="39">
        <f>IF($B9="","",COUNTIF(D9:AH9,"R"))</f>
        <v/>
      </c>
      <c r="AK9" s="39">
        <f>IF($B9="","",COUNTIF(D9:AH9,"A"))</f>
        <v/>
      </c>
      <c r="AL9" s="39">
        <f>IF($B9="","",COUNTIF(D9:AH9,"C"))</f>
        <v/>
      </c>
      <c r="AM9" s="39">
        <f>IF($B9="","",COUNTIF(D9:AH9,"M"))</f>
        <v/>
      </c>
      <c r="AN9" s="40">
        <f>IF($B9="","",IF(AI9+AJ9+AK9+AM9=0,"",(AI9+AJ9)/(AI9+AJ9+AK9+AM9)))</f>
        <v/>
      </c>
      <c r="AO9" s="41">
        <f>IF($B9="","",IF('Employés'!D7="","",(AI9+AJ9+AL9)*'Employés'!D7))</f>
        <v/>
      </c>
    </row>
    <row r="10" ht="20" customHeight="1">
      <c r="A10" s="37">
        <f>IF('Employés'!B8="","",'Employés'!A8)</f>
        <v/>
      </c>
      <c r="B10" s="38">
        <f>IF('Employés'!B8="","",'Employés'!B8)</f>
        <v/>
      </c>
      <c r="C10" s="38">
        <f>IF('Employés'!C8="","",'Employés'!C8)</f>
        <v/>
      </c>
      <c r="D10" s="37" t="n"/>
      <c r="E10" s="37" t="n"/>
      <c r="F10" s="37" t="n"/>
      <c r="G10" s="37" t="n"/>
      <c r="H10" s="37" t="n"/>
      <c r="I10" s="37" t="n"/>
      <c r="J10" s="37" t="n"/>
      <c r="K10" s="37" t="n"/>
      <c r="L10" s="37" t="n"/>
      <c r="M10" s="37" t="n"/>
      <c r="N10" s="37" t="n"/>
      <c r="O10" s="37" t="n"/>
      <c r="P10" s="37" t="n"/>
      <c r="Q10" s="37" t="n"/>
      <c r="R10" s="37" t="n"/>
      <c r="S10" s="37" t="n"/>
      <c r="T10" s="37" t="n"/>
      <c r="U10" s="37" t="n"/>
      <c r="V10" s="37" t="n"/>
      <c r="W10" s="37" t="n"/>
      <c r="X10" s="37" t="n"/>
      <c r="Y10" s="37" t="n"/>
      <c r="Z10" s="37" t="n"/>
      <c r="AA10" s="37" t="n"/>
      <c r="AB10" s="37" t="n"/>
      <c r="AC10" s="37" t="n"/>
      <c r="AD10" s="37" t="n"/>
      <c r="AE10" s="37" t="n"/>
      <c r="AF10" s="37" t="n"/>
      <c r="AG10" s="37" t="n"/>
      <c r="AH10" s="37" t="n"/>
      <c r="AI10" s="39">
        <f>IF($B10="","",COUNTIF(D10:AH10,"P"))</f>
        <v/>
      </c>
      <c r="AJ10" s="39">
        <f>IF($B10="","",COUNTIF(D10:AH10,"R"))</f>
        <v/>
      </c>
      <c r="AK10" s="39">
        <f>IF($B10="","",COUNTIF(D10:AH10,"A"))</f>
        <v/>
      </c>
      <c r="AL10" s="39">
        <f>IF($B10="","",COUNTIF(D10:AH10,"C"))</f>
        <v/>
      </c>
      <c r="AM10" s="39">
        <f>IF($B10="","",COUNTIF(D10:AH10,"M"))</f>
        <v/>
      </c>
      <c r="AN10" s="40">
        <f>IF($B10="","",IF(AI10+AJ10+AK10+AM10=0,"",(AI10+AJ10)/(AI10+AJ10+AK10+AM10)))</f>
        <v/>
      </c>
      <c r="AO10" s="41">
        <f>IF($B10="","",IF('Employés'!D8="","",(AI10+AJ10+AL10)*'Employés'!D8))</f>
        <v/>
      </c>
    </row>
    <row r="11" ht="20" customHeight="1">
      <c r="A11" s="37">
        <f>IF('Employés'!B9="","",'Employés'!A9)</f>
        <v/>
      </c>
      <c r="B11" s="38">
        <f>IF('Employés'!B9="","",'Employés'!B9)</f>
        <v/>
      </c>
      <c r="C11" s="38">
        <f>IF('Employés'!C9="","",'Employés'!C9)</f>
        <v/>
      </c>
      <c r="D11" s="37" t="n"/>
      <c r="E11" s="37" t="n"/>
      <c r="F11" s="37" t="n"/>
      <c r="G11" s="37" t="n"/>
      <c r="H11" s="37" t="n"/>
      <c r="I11" s="37" t="n"/>
      <c r="J11" s="37" t="n"/>
      <c r="K11" s="37" t="n"/>
      <c r="L11" s="37" t="n"/>
      <c r="M11" s="37" t="n"/>
      <c r="N11" s="37" t="n"/>
      <c r="O11" s="37" t="n"/>
      <c r="P11" s="37" t="n"/>
      <c r="Q11" s="37" t="n"/>
      <c r="R11" s="37" t="n"/>
      <c r="S11" s="37" t="n"/>
      <c r="T11" s="37" t="n"/>
      <c r="U11" s="37" t="n"/>
      <c r="V11" s="37" t="n"/>
      <c r="W11" s="37" t="n"/>
      <c r="X11" s="37" t="n"/>
      <c r="Y11" s="37" t="n"/>
      <c r="Z11" s="37" t="n"/>
      <c r="AA11" s="37" t="n"/>
      <c r="AB11" s="37" t="n"/>
      <c r="AC11" s="37" t="n"/>
      <c r="AD11" s="37" t="n"/>
      <c r="AE11" s="37" t="n"/>
      <c r="AF11" s="37" t="n"/>
      <c r="AG11" s="37" t="n"/>
      <c r="AH11" s="37" t="n"/>
      <c r="AI11" s="39">
        <f>IF($B11="","",COUNTIF(D11:AH11,"P"))</f>
        <v/>
      </c>
      <c r="AJ11" s="39">
        <f>IF($B11="","",COUNTIF(D11:AH11,"R"))</f>
        <v/>
      </c>
      <c r="AK11" s="39">
        <f>IF($B11="","",COUNTIF(D11:AH11,"A"))</f>
        <v/>
      </c>
      <c r="AL11" s="39">
        <f>IF($B11="","",COUNTIF(D11:AH11,"C"))</f>
        <v/>
      </c>
      <c r="AM11" s="39">
        <f>IF($B11="","",COUNTIF(D11:AH11,"M"))</f>
        <v/>
      </c>
      <c r="AN11" s="40">
        <f>IF($B11="","",IF(AI11+AJ11+AK11+AM11=0,"",(AI11+AJ11)/(AI11+AJ11+AK11+AM11)))</f>
        <v/>
      </c>
      <c r="AO11" s="41">
        <f>IF($B11="","",IF('Employés'!D9="","",(AI11+AJ11+AL11)*'Employés'!D9))</f>
        <v/>
      </c>
    </row>
    <row r="12" ht="20" customHeight="1">
      <c r="A12" s="37">
        <f>IF('Employés'!B10="","",'Employés'!A10)</f>
        <v/>
      </c>
      <c r="B12" s="38">
        <f>IF('Employés'!B10="","",'Employés'!B10)</f>
        <v/>
      </c>
      <c r="C12" s="38">
        <f>IF('Employés'!C10="","",'Employés'!C10)</f>
        <v/>
      </c>
      <c r="D12" s="37" t="n"/>
      <c r="E12" s="37" t="n"/>
      <c r="F12" s="37" t="n"/>
      <c r="G12" s="37" t="n"/>
      <c r="H12" s="37" t="n"/>
      <c r="I12" s="37" t="n"/>
      <c r="J12" s="37" t="n"/>
      <c r="K12" s="37" t="n"/>
      <c r="L12" s="37" t="n"/>
      <c r="M12" s="37" t="n"/>
      <c r="N12" s="37" t="n"/>
      <c r="O12" s="37" t="n"/>
      <c r="P12" s="37" t="n"/>
      <c r="Q12" s="37" t="n"/>
      <c r="R12" s="37" t="n"/>
      <c r="S12" s="37" t="n"/>
      <c r="T12" s="37" t="n"/>
      <c r="U12" s="37" t="n"/>
      <c r="V12" s="37" t="n"/>
      <c r="W12" s="37" t="n"/>
      <c r="X12" s="37" t="n"/>
      <c r="Y12" s="37" t="n"/>
      <c r="Z12" s="37" t="n"/>
      <c r="AA12" s="37" t="n"/>
      <c r="AB12" s="37" t="n"/>
      <c r="AC12" s="37" t="n"/>
      <c r="AD12" s="37" t="n"/>
      <c r="AE12" s="37" t="n"/>
      <c r="AF12" s="37" t="n"/>
      <c r="AG12" s="37" t="n"/>
      <c r="AH12" s="37" t="n"/>
      <c r="AI12" s="39">
        <f>IF($B12="","",COUNTIF(D12:AH12,"P"))</f>
        <v/>
      </c>
      <c r="AJ12" s="39">
        <f>IF($B12="","",COUNTIF(D12:AH12,"R"))</f>
        <v/>
      </c>
      <c r="AK12" s="39">
        <f>IF($B12="","",COUNTIF(D12:AH12,"A"))</f>
        <v/>
      </c>
      <c r="AL12" s="39">
        <f>IF($B12="","",COUNTIF(D12:AH12,"C"))</f>
        <v/>
      </c>
      <c r="AM12" s="39">
        <f>IF($B12="","",COUNTIF(D12:AH12,"M"))</f>
        <v/>
      </c>
      <c r="AN12" s="40">
        <f>IF($B12="","",IF(AI12+AJ12+AK12+AM12=0,"",(AI12+AJ12)/(AI12+AJ12+AK12+AM12)))</f>
        <v/>
      </c>
      <c r="AO12" s="41">
        <f>IF($B12="","",IF('Employés'!D10="","",(AI12+AJ12+AL12)*'Employés'!D10))</f>
        <v/>
      </c>
    </row>
    <row r="13" ht="20" customHeight="1">
      <c r="A13" s="37">
        <f>IF('Employés'!B11="","",'Employés'!A11)</f>
        <v/>
      </c>
      <c r="B13" s="38">
        <f>IF('Employés'!B11="","",'Employés'!B11)</f>
        <v/>
      </c>
      <c r="C13" s="38">
        <f>IF('Employés'!C11="","",'Employés'!C11)</f>
        <v/>
      </c>
      <c r="D13" s="37" t="n"/>
      <c r="E13" s="37" t="n"/>
      <c r="F13" s="37" t="n"/>
      <c r="G13" s="37" t="n"/>
      <c r="H13" s="37" t="n"/>
      <c r="I13" s="37" t="n"/>
      <c r="J13" s="37" t="n"/>
      <c r="K13" s="37" t="n"/>
      <c r="L13" s="37" t="n"/>
      <c r="M13" s="37" t="n"/>
      <c r="N13" s="37" t="n"/>
      <c r="O13" s="37" t="n"/>
      <c r="P13" s="37" t="n"/>
      <c r="Q13" s="37" t="n"/>
      <c r="R13" s="37" t="n"/>
      <c r="S13" s="37" t="n"/>
      <c r="T13" s="37" t="n"/>
      <c r="U13" s="37" t="n"/>
      <c r="V13" s="37" t="n"/>
      <c r="W13" s="37" t="n"/>
      <c r="X13" s="37" t="n"/>
      <c r="Y13" s="37" t="n"/>
      <c r="Z13" s="37" t="n"/>
      <c r="AA13" s="37" t="n"/>
      <c r="AB13" s="37" t="n"/>
      <c r="AC13" s="37" t="n"/>
      <c r="AD13" s="37" t="n"/>
      <c r="AE13" s="37" t="n"/>
      <c r="AF13" s="37" t="n"/>
      <c r="AG13" s="37" t="n"/>
      <c r="AH13" s="37" t="n"/>
      <c r="AI13" s="39">
        <f>IF($B13="","",COUNTIF(D13:AH13,"P"))</f>
        <v/>
      </c>
      <c r="AJ13" s="39">
        <f>IF($B13="","",COUNTIF(D13:AH13,"R"))</f>
        <v/>
      </c>
      <c r="AK13" s="39">
        <f>IF($B13="","",COUNTIF(D13:AH13,"A"))</f>
        <v/>
      </c>
      <c r="AL13" s="39">
        <f>IF($B13="","",COUNTIF(D13:AH13,"C"))</f>
        <v/>
      </c>
      <c r="AM13" s="39">
        <f>IF($B13="","",COUNTIF(D13:AH13,"M"))</f>
        <v/>
      </c>
      <c r="AN13" s="40">
        <f>IF($B13="","",IF(AI13+AJ13+AK13+AM13=0,"",(AI13+AJ13)/(AI13+AJ13+AK13+AM13)))</f>
        <v/>
      </c>
      <c r="AO13" s="41">
        <f>IF($B13="","",IF('Employés'!D11="","",(AI13+AJ13+AL13)*'Employés'!D11))</f>
        <v/>
      </c>
    </row>
    <row r="14" ht="20" customHeight="1">
      <c r="A14" s="37">
        <f>IF('Employés'!B12="","",'Employés'!A12)</f>
        <v/>
      </c>
      <c r="B14" s="38">
        <f>IF('Employés'!B12="","",'Employés'!B12)</f>
        <v/>
      </c>
      <c r="C14" s="38">
        <f>IF('Employés'!C12="","",'Employés'!C12)</f>
        <v/>
      </c>
      <c r="D14" s="37" t="n"/>
      <c r="E14" s="37" t="n"/>
      <c r="F14" s="37" t="n"/>
      <c r="G14" s="37" t="n"/>
      <c r="H14" s="37" t="n"/>
      <c r="I14" s="37" t="n"/>
      <c r="J14" s="37" t="n"/>
      <c r="K14" s="37" t="n"/>
      <c r="L14" s="37" t="n"/>
      <c r="M14" s="37" t="n"/>
      <c r="N14" s="37" t="n"/>
      <c r="O14" s="37" t="n"/>
      <c r="P14" s="37" t="n"/>
      <c r="Q14" s="37" t="n"/>
      <c r="R14" s="37" t="n"/>
      <c r="S14" s="37" t="n"/>
      <c r="T14" s="37" t="n"/>
      <c r="U14" s="37" t="n"/>
      <c r="V14" s="37" t="n"/>
      <c r="W14" s="37" t="n"/>
      <c r="X14" s="37" t="n"/>
      <c r="Y14" s="37" t="n"/>
      <c r="Z14" s="37" t="n"/>
      <c r="AA14" s="37" t="n"/>
      <c r="AB14" s="37" t="n"/>
      <c r="AC14" s="37" t="n"/>
      <c r="AD14" s="37" t="n"/>
      <c r="AE14" s="37" t="n"/>
      <c r="AF14" s="37" t="n"/>
      <c r="AG14" s="37" t="n"/>
      <c r="AH14" s="37" t="n"/>
      <c r="AI14" s="39">
        <f>IF($B14="","",COUNTIF(D14:AH14,"P"))</f>
        <v/>
      </c>
      <c r="AJ14" s="39">
        <f>IF($B14="","",COUNTIF(D14:AH14,"R"))</f>
        <v/>
      </c>
      <c r="AK14" s="39">
        <f>IF($B14="","",COUNTIF(D14:AH14,"A"))</f>
        <v/>
      </c>
      <c r="AL14" s="39">
        <f>IF($B14="","",COUNTIF(D14:AH14,"C"))</f>
        <v/>
      </c>
      <c r="AM14" s="39">
        <f>IF($B14="","",COUNTIF(D14:AH14,"M"))</f>
        <v/>
      </c>
      <c r="AN14" s="40">
        <f>IF($B14="","",IF(AI14+AJ14+AK14+AM14=0,"",(AI14+AJ14)/(AI14+AJ14+AK14+AM14)))</f>
        <v/>
      </c>
      <c r="AO14" s="41">
        <f>IF($B14="","",IF('Employés'!D12="","",(AI14+AJ14+AL14)*'Employés'!D12))</f>
        <v/>
      </c>
    </row>
    <row r="15" ht="20" customHeight="1">
      <c r="A15" s="37">
        <f>IF('Employés'!B13="","",'Employés'!A13)</f>
        <v/>
      </c>
      <c r="B15" s="38">
        <f>IF('Employés'!B13="","",'Employés'!B13)</f>
        <v/>
      </c>
      <c r="C15" s="38">
        <f>IF('Employés'!C13="","",'Employés'!C13)</f>
        <v/>
      </c>
      <c r="D15" s="37" t="n"/>
      <c r="E15" s="37" t="n"/>
      <c r="F15" s="37" t="n"/>
      <c r="G15" s="37" t="n"/>
      <c r="H15" s="37" t="n"/>
      <c r="I15" s="37" t="n"/>
      <c r="J15" s="37" t="n"/>
      <c r="K15" s="37" t="n"/>
      <c r="L15" s="37" t="n"/>
      <c r="M15" s="37" t="n"/>
      <c r="N15" s="37" t="n"/>
      <c r="O15" s="37" t="n"/>
      <c r="P15" s="37" t="n"/>
      <c r="Q15" s="37" t="n"/>
      <c r="R15" s="37" t="n"/>
      <c r="S15" s="37" t="n"/>
      <c r="T15" s="37" t="n"/>
      <c r="U15" s="37" t="n"/>
      <c r="V15" s="37" t="n"/>
      <c r="W15" s="37" t="n"/>
      <c r="X15" s="37" t="n"/>
      <c r="Y15" s="37" t="n"/>
      <c r="Z15" s="37" t="n"/>
      <c r="AA15" s="37" t="n"/>
      <c r="AB15" s="37" t="n"/>
      <c r="AC15" s="37" t="n"/>
      <c r="AD15" s="37" t="n"/>
      <c r="AE15" s="37" t="n"/>
      <c r="AF15" s="37" t="n"/>
      <c r="AG15" s="37" t="n"/>
      <c r="AH15" s="37" t="n"/>
      <c r="AI15" s="39">
        <f>IF($B15="","",COUNTIF(D15:AH15,"P"))</f>
        <v/>
      </c>
      <c r="AJ15" s="39">
        <f>IF($B15="","",COUNTIF(D15:AH15,"R"))</f>
        <v/>
      </c>
      <c r="AK15" s="39">
        <f>IF($B15="","",COUNTIF(D15:AH15,"A"))</f>
        <v/>
      </c>
      <c r="AL15" s="39">
        <f>IF($B15="","",COUNTIF(D15:AH15,"C"))</f>
        <v/>
      </c>
      <c r="AM15" s="39">
        <f>IF($B15="","",COUNTIF(D15:AH15,"M"))</f>
        <v/>
      </c>
      <c r="AN15" s="40">
        <f>IF($B15="","",IF(AI15+AJ15+AK15+AM15=0,"",(AI15+AJ15)/(AI15+AJ15+AK15+AM15)))</f>
        <v/>
      </c>
      <c r="AO15" s="41">
        <f>IF($B15="","",IF('Employés'!D13="","",(AI15+AJ15+AL15)*'Employés'!D13))</f>
        <v/>
      </c>
    </row>
    <row r="16" ht="20" customHeight="1">
      <c r="A16" s="37">
        <f>IF('Employés'!B14="","",'Employés'!A14)</f>
        <v/>
      </c>
      <c r="B16" s="38">
        <f>IF('Employés'!B14="","",'Employés'!B14)</f>
        <v/>
      </c>
      <c r="C16" s="38">
        <f>IF('Employés'!C14="","",'Employés'!C14)</f>
        <v/>
      </c>
      <c r="D16" s="37" t="n"/>
      <c r="E16" s="37" t="n"/>
      <c r="F16" s="37" t="n"/>
      <c r="G16" s="37" t="n"/>
      <c r="H16" s="37" t="n"/>
      <c r="I16" s="37" t="n"/>
      <c r="J16" s="37" t="n"/>
      <c r="K16" s="37" t="n"/>
      <c r="L16" s="37" t="n"/>
      <c r="M16" s="37" t="n"/>
      <c r="N16" s="37" t="n"/>
      <c r="O16" s="37" t="n"/>
      <c r="P16" s="37" t="n"/>
      <c r="Q16" s="37" t="n"/>
      <c r="R16" s="37" t="n"/>
      <c r="S16" s="37" t="n"/>
      <c r="T16" s="37" t="n"/>
      <c r="U16" s="37" t="n"/>
      <c r="V16" s="37" t="n"/>
      <c r="W16" s="37" t="n"/>
      <c r="X16" s="37" t="n"/>
      <c r="Y16" s="37" t="n"/>
      <c r="Z16" s="37" t="n"/>
      <c r="AA16" s="37" t="n"/>
      <c r="AB16" s="37" t="n"/>
      <c r="AC16" s="37" t="n"/>
      <c r="AD16" s="37" t="n"/>
      <c r="AE16" s="37" t="n"/>
      <c r="AF16" s="37" t="n"/>
      <c r="AG16" s="37" t="n"/>
      <c r="AH16" s="37" t="n"/>
      <c r="AI16" s="39">
        <f>IF($B16="","",COUNTIF(D16:AH16,"P"))</f>
        <v/>
      </c>
      <c r="AJ16" s="39">
        <f>IF($B16="","",COUNTIF(D16:AH16,"R"))</f>
        <v/>
      </c>
      <c r="AK16" s="39">
        <f>IF($B16="","",COUNTIF(D16:AH16,"A"))</f>
        <v/>
      </c>
      <c r="AL16" s="39">
        <f>IF($B16="","",COUNTIF(D16:AH16,"C"))</f>
        <v/>
      </c>
      <c r="AM16" s="39">
        <f>IF($B16="","",COUNTIF(D16:AH16,"M"))</f>
        <v/>
      </c>
      <c r="AN16" s="40">
        <f>IF($B16="","",IF(AI16+AJ16+AK16+AM16=0,"",(AI16+AJ16)/(AI16+AJ16+AK16+AM16)))</f>
        <v/>
      </c>
      <c r="AO16" s="41">
        <f>IF($B16="","",IF('Employés'!D14="","",(AI16+AJ16+AL16)*'Employés'!D14))</f>
        <v/>
      </c>
    </row>
    <row r="17" ht="20" customHeight="1">
      <c r="A17" s="37">
        <f>IF('Employés'!B15="","",'Employés'!A15)</f>
        <v/>
      </c>
      <c r="B17" s="38">
        <f>IF('Employés'!B15="","",'Employés'!B15)</f>
        <v/>
      </c>
      <c r="C17" s="38">
        <f>IF('Employés'!C15="","",'Employés'!C15)</f>
        <v/>
      </c>
      <c r="D17" s="37" t="n"/>
      <c r="E17" s="37" t="n"/>
      <c r="F17" s="37" t="n"/>
      <c r="G17" s="37" t="n"/>
      <c r="H17" s="37" t="n"/>
      <c r="I17" s="37" t="n"/>
      <c r="J17" s="37" t="n"/>
      <c r="K17" s="37" t="n"/>
      <c r="L17" s="37" t="n"/>
      <c r="M17" s="37" t="n"/>
      <c r="N17" s="37" t="n"/>
      <c r="O17" s="37" t="n"/>
      <c r="P17" s="37" t="n"/>
      <c r="Q17" s="37" t="n"/>
      <c r="R17" s="37" t="n"/>
      <c r="S17" s="37" t="n"/>
      <c r="T17" s="37" t="n"/>
      <c r="U17" s="37" t="n"/>
      <c r="V17" s="37" t="n"/>
      <c r="W17" s="37" t="n"/>
      <c r="X17" s="37" t="n"/>
      <c r="Y17" s="37" t="n"/>
      <c r="Z17" s="37" t="n"/>
      <c r="AA17" s="37" t="n"/>
      <c r="AB17" s="37" t="n"/>
      <c r="AC17" s="37" t="n"/>
      <c r="AD17" s="37" t="n"/>
      <c r="AE17" s="37" t="n"/>
      <c r="AF17" s="37" t="n"/>
      <c r="AG17" s="37" t="n"/>
      <c r="AH17" s="37" t="n"/>
      <c r="AI17" s="39">
        <f>IF($B17="","",COUNTIF(D17:AH17,"P"))</f>
        <v/>
      </c>
      <c r="AJ17" s="39">
        <f>IF($B17="","",COUNTIF(D17:AH17,"R"))</f>
        <v/>
      </c>
      <c r="AK17" s="39">
        <f>IF($B17="","",COUNTIF(D17:AH17,"A"))</f>
        <v/>
      </c>
      <c r="AL17" s="39">
        <f>IF($B17="","",COUNTIF(D17:AH17,"C"))</f>
        <v/>
      </c>
      <c r="AM17" s="39">
        <f>IF($B17="","",COUNTIF(D17:AH17,"M"))</f>
        <v/>
      </c>
      <c r="AN17" s="40">
        <f>IF($B17="","",IF(AI17+AJ17+AK17+AM17=0,"",(AI17+AJ17)/(AI17+AJ17+AK17+AM17)))</f>
        <v/>
      </c>
      <c r="AO17" s="41">
        <f>IF($B17="","",IF('Employés'!D15="","",(AI17+AJ17+AL17)*'Employés'!D15))</f>
        <v/>
      </c>
    </row>
    <row r="18" ht="20" customHeight="1">
      <c r="A18" s="37">
        <f>IF('Employés'!B16="","",'Employés'!A16)</f>
        <v/>
      </c>
      <c r="B18" s="38">
        <f>IF('Employés'!B16="","",'Employés'!B16)</f>
        <v/>
      </c>
      <c r="C18" s="38">
        <f>IF('Employés'!C16="","",'Employés'!C16)</f>
        <v/>
      </c>
      <c r="D18" s="37" t="n"/>
      <c r="E18" s="37" t="n"/>
      <c r="F18" s="37" t="n"/>
      <c r="G18" s="37" t="n"/>
      <c r="H18" s="37" t="n"/>
      <c r="I18" s="37" t="n"/>
      <c r="J18" s="37" t="n"/>
      <c r="K18" s="37" t="n"/>
      <c r="L18" s="37" t="n"/>
      <c r="M18" s="37" t="n"/>
      <c r="N18" s="37" t="n"/>
      <c r="O18" s="37" t="n"/>
      <c r="P18" s="37" t="n"/>
      <c r="Q18" s="37" t="n"/>
      <c r="R18" s="37" t="n"/>
      <c r="S18" s="37" t="n"/>
      <c r="T18" s="37" t="n"/>
      <c r="U18" s="37" t="n"/>
      <c r="V18" s="37" t="n"/>
      <c r="W18" s="37" t="n"/>
      <c r="X18" s="37" t="n"/>
      <c r="Y18" s="37" t="n"/>
      <c r="Z18" s="37" t="n"/>
      <c r="AA18" s="37" t="n"/>
      <c r="AB18" s="37" t="n"/>
      <c r="AC18" s="37" t="n"/>
      <c r="AD18" s="37" t="n"/>
      <c r="AE18" s="37" t="n"/>
      <c r="AF18" s="37" t="n"/>
      <c r="AG18" s="37" t="n"/>
      <c r="AH18" s="37" t="n"/>
      <c r="AI18" s="39">
        <f>IF($B18="","",COUNTIF(D18:AH18,"P"))</f>
        <v/>
      </c>
      <c r="AJ18" s="39">
        <f>IF($B18="","",COUNTIF(D18:AH18,"R"))</f>
        <v/>
      </c>
      <c r="AK18" s="39">
        <f>IF($B18="","",COUNTIF(D18:AH18,"A"))</f>
        <v/>
      </c>
      <c r="AL18" s="39">
        <f>IF($B18="","",COUNTIF(D18:AH18,"C"))</f>
        <v/>
      </c>
      <c r="AM18" s="39">
        <f>IF($B18="","",COUNTIF(D18:AH18,"M"))</f>
        <v/>
      </c>
      <c r="AN18" s="40">
        <f>IF($B18="","",IF(AI18+AJ18+AK18+AM18=0,"",(AI18+AJ18)/(AI18+AJ18+AK18+AM18)))</f>
        <v/>
      </c>
      <c r="AO18" s="41">
        <f>IF($B18="","",IF('Employés'!D16="","",(AI18+AJ18+AL18)*'Employés'!D16))</f>
        <v/>
      </c>
    </row>
    <row r="19" ht="20" customHeight="1">
      <c r="A19" s="37">
        <f>IF('Employés'!B17="","",'Employés'!A17)</f>
        <v/>
      </c>
      <c r="B19" s="38">
        <f>IF('Employés'!B17="","",'Employés'!B17)</f>
        <v/>
      </c>
      <c r="C19" s="38">
        <f>IF('Employés'!C17="","",'Employés'!C17)</f>
        <v/>
      </c>
      <c r="D19" s="37" t="n"/>
      <c r="E19" s="37" t="n"/>
      <c r="F19" s="37" t="n"/>
      <c r="G19" s="37" t="n"/>
      <c r="H19" s="37" t="n"/>
      <c r="I19" s="37" t="n"/>
      <c r="J19" s="37" t="n"/>
      <c r="K19" s="37" t="n"/>
      <c r="L19" s="37" t="n"/>
      <c r="M19" s="37" t="n"/>
      <c r="N19" s="37" t="n"/>
      <c r="O19" s="37" t="n"/>
      <c r="P19" s="37" t="n"/>
      <c r="Q19" s="37" t="n"/>
      <c r="R19" s="37" t="n"/>
      <c r="S19" s="37" t="n"/>
      <c r="T19" s="37" t="n"/>
      <c r="U19" s="37" t="n"/>
      <c r="V19" s="37" t="n"/>
      <c r="W19" s="37" t="n"/>
      <c r="X19" s="37" t="n"/>
      <c r="Y19" s="37" t="n"/>
      <c r="Z19" s="37" t="n"/>
      <c r="AA19" s="37" t="n"/>
      <c r="AB19" s="37" t="n"/>
      <c r="AC19" s="37" t="n"/>
      <c r="AD19" s="37" t="n"/>
      <c r="AE19" s="37" t="n"/>
      <c r="AF19" s="37" t="n"/>
      <c r="AG19" s="37" t="n"/>
      <c r="AH19" s="37" t="n"/>
      <c r="AI19" s="39">
        <f>IF($B19="","",COUNTIF(D19:AH19,"P"))</f>
        <v/>
      </c>
      <c r="AJ19" s="39">
        <f>IF($B19="","",COUNTIF(D19:AH19,"R"))</f>
        <v/>
      </c>
      <c r="AK19" s="39">
        <f>IF($B19="","",COUNTIF(D19:AH19,"A"))</f>
        <v/>
      </c>
      <c r="AL19" s="39">
        <f>IF($B19="","",COUNTIF(D19:AH19,"C"))</f>
        <v/>
      </c>
      <c r="AM19" s="39">
        <f>IF($B19="","",COUNTIF(D19:AH19,"M"))</f>
        <v/>
      </c>
      <c r="AN19" s="40">
        <f>IF($B19="","",IF(AI19+AJ19+AK19+AM19=0,"",(AI19+AJ19)/(AI19+AJ19+AK19+AM19)))</f>
        <v/>
      </c>
      <c r="AO19" s="41">
        <f>IF($B19="","",IF('Employés'!D17="","",(AI19+AJ19+AL19)*'Employés'!D17))</f>
        <v/>
      </c>
    </row>
    <row r="20" ht="20" customHeight="1">
      <c r="A20" s="37">
        <f>IF('Employés'!B18="","",'Employés'!A18)</f>
        <v/>
      </c>
      <c r="B20" s="38">
        <f>IF('Employés'!B18="","",'Employés'!B18)</f>
        <v/>
      </c>
      <c r="C20" s="38">
        <f>IF('Employés'!C18="","",'Employés'!C18)</f>
        <v/>
      </c>
      <c r="D20" s="37" t="n"/>
      <c r="E20" s="37" t="n"/>
      <c r="F20" s="37" t="n"/>
      <c r="G20" s="37" t="n"/>
      <c r="H20" s="37" t="n"/>
      <c r="I20" s="37" t="n"/>
      <c r="J20" s="37" t="n"/>
      <c r="K20" s="37" t="n"/>
      <c r="L20" s="37" t="n"/>
      <c r="M20" s="37" t="n"/>
      <c r="N20" s="37" t="n"/>
      <c r="O20" s="37" t="n"/>
      <c r="P20" s="37" t="n"/>
      <c r="Q20" s="37" t="n"/>
      <c r="R20" s="37" t="n"/>
      <c r="S20" s="37" t="n"/>
      <c r="T20" s="37" t="n"/>
      <c r="U20" s="37" t="n"/>
      <c r="V20" s="37" t="n"/>
      <c r="W20" s="37" t="n"/>
      <c r="X20" s="37" t="n"/>
      <c r="Y20" s="37" t="n"/>
      <c r="Z20" s="37" t="n"/>
      <c r="AA20" s="37" t="n"/>
      <c r="AB20" s="37" t="n"/>
      <c r="AC20" s="37" t="n"/>
      <c r="AD20" s="37" t="n"/>
      <c r="AE20" s="37" t="n"/>
      <c r="AF20" s="37" t="n"/>
      <c r="AG20" s="37" t="n"/>
      <c r="AH20" s="37" t="n"/>
      <c r="AI20" s="39">
        <f>IF($B20="","",COUNTIF(D20:AH20,"P"))</f>
        <v/>
      </c>
      <c r="AJ20" s="39">
        <f>IF($B20="","",COUNTIF(D20:AH20,"R"))</f>
        <v/>
      </c>
      <c r="AK20" s="39">
        <f>IF($B20="","",COUNTIF(D20:AH20,"A"))</f>
        <v/>
      </c>
      <c r="AL20" s="39">
        <f>IF($B20="","",COUNTIF(D20:AH20,"C"))</f>
        <v/>
      </c>
      <c r="AM20" s="39">
        <f>IF($B20="","",COUNTIF(D20:AH20,"M"))</f>
        <v/>
      </c>
      <c r="AN20" s="40">
        <f>IF($B20="","",IF(AI20+AJ20+AK20+AM20=0,"",(AI20+AJ20)/(AI20+AJ20+AK20+AM20)))</f>
        <v/>
      </c>
      <c r="AO20" s="41">
        <f>IF($B20="","",IF('Employés'!D18="","",(AI20+AJ20+AL20)*'Employés'!D18))</f>
        <v/>
      </c>
    </row>
    <row r="21" ht="20" customHeight="1">
      <c r="A21" s="37">
        <f>IF('Employés'!B19="","",'Employés'!A19)</f>
        <v/>
      </c>
      <c r="B21" s="38">
        <f>IF('Employés'!B19="","",'Employés'!B19)</f>
        <v/>
      </c>
      <c r="C21" s="38">
        <f>IF('Employés'!C19="","",'Employés'!C19)</f>
        <v/>
      </c>
      <c r="D21" s="37" t="n"/>
      <c r="E21" s="37" t="n"/>
      <c r="F21" s="37" t="n"/>
      <c r="G21" s="37" t="n"/>
      <c r="H21" s="37" t="n"/>
      <c r="I21" s="37" t="n"/>
      <c r="J21" s="37" t="n"/>
      <c r="K21" s="37" t="n"/>
      <c r="L21" s="37" t="n"/>
      <c r="M21" s="37" t="n"/>
      <c r="N21" s="37" t="n"/>
      <c r="O21" s="37" t="n"/>
      <c r="P21" s="37" t="n"/>
      <c r="Q21" s="37" t="n"/>
      <c r="R21" s="37" t="n"/>
      <c r="S21" s="37" t="n"/>
      <c r="T21" s="37" t="n"/>
      <c r="U21" s="37" t="n"/>
      <c r="V21" s="37" t="n"/>
      <c r="W21" s="37" t="n"/>
      <c r="X21" s="37" t="n"/>
      <c r="Y21" s="37" t="n"/>
      <c r="Z21" s="37" t="n"/>
      <c r="AA21" s="37" t="n"/>
      <c r="AB21" s="37" t="n"/>
      <c r="AC21" s="37" t="n"/>
      <c r="AD21" s="37" t="n"/>
      <c r="AE21" s="37" t="n"/>
      <c r="AF21" s="37" t="n"/>
      <c r="AG21" s="37" t="n"/>
      <c r="AH21" s="37" t="n"/>
      <c r="AI21" s="39">
        <f>IF($B21="","",COUNTIF(D21:AH21,"P"))</f>
        <v/>
      </c>
      <c r="AJ21" s="39">
        <f>IF($B21="","",COUNTIF(D21:AH21,"R"))</f>
        <v/>
      </c>
      <c r="AK21" s="39">
        <f>IF($B21="","",COUNTIF(D21:AH21,"A"))</f>
        <v/>
      </c>
      <c r="AL21" s="39">
        <f>IF($B21="","",COUNTIF(D21:AH21,"C"))</f>
        <v/>
      </c>
      <c r="AM21" s="39">
        <f>IF($B21="","",COUNTIF(D21:AH21,"M"))</f>
        <v/>
      </c>
      <c r="AN21" s="40">
        <f>IF($B21="","",IF(AI21+AJ21+AK21+AM21=0,"",(AI21+AJ21)/(AI21+AJ21+AK21+AM21)))</f>
        <v/>
      </c>
      <c r="AO21" s="41">
        <f>IF($B21="","",IF('Employés'!D19="","",(AI21+AJ21+AL21)*'Employés'!D19))</f>
        <v/>
      </c>
    </row>
    <row r="22" ht="20" customHeight="1">
      <c r="A22" s="37">
        <f>IF('Employés'!B20="","",'Employés'!A20)</f>
        <v/>
      </c>
      <c r="B22" s="38">
        <f>IF('Employés'!B20="","",'Employés'!B20)</f>
        <v/>
      </c>
      <c r="C22" s="38">
        <f>IF('Employés'!C20="","",'Employés'!C20)</f>
        <v/>
      </c>
      <c r="D22" s="37" t="n"/>
      <c r="E22" s="37" t="n"/>
      <c r="F22" s="37" t="n"/>
      <c r="G22" s="37" t="n"/>
      <c r="H22" s="37" t="n"/>
      <c r="I22" s="37" t="n"/>
      <c r="J22" s="37" t="n"/>
      <c r="K22" s="37" t="n"/>
      <c r="L22" s="37" t="n"/>
      <c r="M22" s="37" t="n"/>
      <c r="N22" s="37" t="n"/>
      <c r="O22" s="37" t="n"/>
      <c r="P22" s="37" t="n"/>
      <c r="Q22" s="37" t="n"/>
      <c r="R22" s="37" t="n"/>
      <c r="S22" s="37" t="n"/>
      <c r="T22" s="37" t="n"/>
      <c r="U22" s="37" t="n"/>
      <c r="V22" s="37" t="n"/>
      <c r="W22" s="37" t="n"/>
      <c r="X22" s="37" t="n"/>
      <c r="Y22" s="37" t="n"/>
      <c r="Z22" s="37" t="n"/>
      <c r="AA22" s="37" t="n"/>
      <c r="AB22" s="37" t="n"/>
      <c r="AC22" s="37" t="n"/>
      <c r="AD22" s="37" t="n"/>
      <c r="AE22" s="37" t="n"/>
      <c r="AF22" s="37" t="n"/>
      <c r="AG22" s="37" t="n"/>
      <c r="AH22" s="37" t="n"/>
      <c r="AI22" s="39">
        <f>IF($B22="","",COUNTIF(D22:AH22,"P"))</f>
        <v/>
      </c>
      <c r="AJ22" s="39">
        <f>IF($B22="","",COUNTIF(D22:AH22,"R"))</f>
        <v/>
      </c>
      <c r="AK22" s="39">
        <f>IF($B22="","",COUNTIF(D22:AH22,"A"))</f>
        <v/>
      </c>
      <c r="AL22" s="39">
        <f>IF($B22="","",COUNTIF(D22:AH22,"C"))</f>
        <v/>
      </c>
      <c r="AM22" s="39">
        <f>IF($B22="","",COUNTIF(D22:AH22,"M"))</f>
        <v/>
      </c>
      <c r="AN22" s="40">
        <f>IF($B22="","",IF(AI22+AJ22+AK22+AM22=0,"",(AI22+AJ22)/(AI22+AJ22+AK22+AM22)))</f>
        <v/>
      </c>
      <c r="AO22" s="41">
        <f>IF($B22="","",IF('Employés'!D20="","",(AI22+AJ22+AL22)*'Employés'!D20))</f>
        <v/>
      </c>
    </row>
    <row r="23" ht="20" customHeight="1">
      <c r="A23" s="37">
        <f>IF('Employés'!B21="","",'Employés'!A21)</f>
        <v/>
      </c>
      <c r="B23" s="38">
        <f>IF('Employés'!B21="","",'Employés'!B21)</f>
        <v/>
      </c>
      <c r="C23" s="38">
        <f>IF('Employés'!C21="","",'Employés'!C21)</f>
        <v/>
      </c>
      <c r="D23" s="37" t="n"/>
      <c r="E23" s="37" t="n"/>
      <c r="F23" s="37" t="n"/>
      <c r="G23" s="37" t="n"/>
      <c r="H23" s="37" t="n"/>
      <c r="I23" s="37" t="n"/>
      <c r="J23" s="37" t="n"/>
      <c r="K23" s="37" t="n"/>
      <c r="L23" s="37" t="n"/>
      <c r="M23" s="37" t="n"/>
      <c r="N23" s="37" t="n"/>
      <c r="O23" s="37" t="n"/>
      <c r="P23" s="37" t="n"/>
      <c r="Q23" s="37" t="n"/>
      <c r="R23" s="37" t="n"/>
      <c r="S23" s="37" t="n"/>
      <c r="T23" s="37" t="n"/>
      <c r="U23" s="37" t="n"/>
      <c r="V23" s="37" t="n"/>
      <c r="W23" s="37" t="n"/>
      <c r="X23" s="37" t="n"/>
      <c r="Y23" s="37" t="n"/>
      <c r="Z23" s="37" t="n"/>
      <c r="AA23" s="37" t="n"/>
      <c r="AB23" s="37" t="n"/>
      <c r="AC23" s="37" t="n"/>
      <c r="AD23" s="37" t="n"/>
      <c r="AE23" s="37" t="n"/>
      <c r="AF23" s="37" t="n"/>
      <c r="AG23" s="37" t="n"/>
      <c r="AH23" s="37" t="n"/>
      <c r="AI23" s="39">
        <f>IF($B23="","",COUNTIF(D23:AH23,"P"))</f>
        <v/>
      </c>
      <c r="AJ23" s="39">
        <f>IF($B23="","",COUNTIF(D23:AH23,"R"))</f>
        <v/>
      </c>
      <c r="AK23" s="39">
        <f>IF($B23="","",COUNTIF(D23:AH23,"A"))</f>
        <v/>
      </c>
      <c r="AL23" s="39">
        <f>IF($B23="","",COUNTIF(D23:AH23,"C"))</f>
        <v/>
      </c>
      <c r="AM23" s="39">
        <f>IF($B23="","",COUNTIF(D23:AH23,"M"))</f>
        <v/>
      </c>
      <c r="AN23" s="40">
        <f>IF($B23="","",IF(AI23+AJ23+AK23+AM23=0,"",(AI23+AJ23)/(AI23+AJ23+AK23+AM23)))</f>
        <v/>
      </c>
      <c r="AO23" s="41">
        <f>IF($B23="","",IF('Employés'!D21="","",(AI23+AJ23+AL23)*'Employés'!D21))</f>
        <v/>
      </c>
    </row>
    <row r="24" ht="20" customHeight="1">
      <c r="A24" s="37">
        <f>IF('Employés'!B22="","",'Employés'!A22)</f>
        <v/>
      </c>
      <c r="B24" s="38">
        <f>IF('Employés'!B22="","",'Employés'!B22)</f>
        <v/>
      </c>
      <c r="C24" s="38">
        <f>IF('Employés'!C22="","",'Employés'!C22)</f>
        <v/>
      </c>
      <c r="D24" s="37" t="n"/>
      <c r="E24" s="37" t="n"/>
      <c r="F24" s="37" t="n"/>
      <c r="G24" s="37" t="n"/>
      <c r="H24" s="37" t="n"/>
      <c r="I24" s="37" t="n"/>
      <c r="J24" s="37" t="n"/>
      <c r="K24" s="37" t="n"/>
      <c r="L24" s="37" t="n"/>
      <c r="M24" s="37" t="n"/>
      <c r="N24" s="37" t="n"/>
      <c r="O24" s="37" t="n"/>
      <c r="P24" s="37" t="n"/>
      <c r="Q24" s="37" t="n"/>
      <c r="R24" s="37" t="n"/>
      <c r="S24" s="37" t="n"/>
      <c r="T24" s="37" t="n"/>
      <c r="U24" s="37" t="n"/>
      <c r="V24" s="37" t="n"/>
      <c r="W24" s="37" t="n"/>
      <c r="X24" s="37" t="n"/>
      <c r="Y24" s="37" t="n"/>
      <c r="Z24" s="37" t="n"/>
      <c r="AA24" s="37" t="n"/>
      <c r="AB24" s="37" t="n"/>
      <c r="AC24" s="37" t="n"/>
      <c r="AD24" s="37" t="n"/>
      <c r="AE24" s="37" t="n"/>
      <c r="AF24" s="37" t="n"/>
      <c r="AG24" s="37" t="n"/>
      <c r="AH24" s="37" t="n"/>
      <c r="AI24" s="39">
        <f>IF($B24="","",COUNTIF(D24:AH24,"P"))</f>
        <v/>
      </c>
      <c r="AJ24" s="39">
        <f>IF($B24="","",COUNTIF(D24:AH24,"R"))</f>
        <v/>
      </c>
      <c r="AK24" s="39">
        <f>IF($B24="","",COUNTIF(D24:AH24,"A"))</f>
        <v/>
      </c>
      <c r="AL24" s="39">
        <f>IF($B24="","",COUNTIF(D24:AH24,"C"))</f>
        <v/>
      </c>
      <c r="AM24" s="39">
        <f>IF($B24="","",COUNTIF(D24:AH24,"M"))</f>
        <v/>
      </c>
      <c r="AN24" s="40">
        <f>IF($B24="","",IF(AI24+AJ24+AK24+AM24=0,"",(AI24+AJ24)/(AI24+AJ24+AK24+AM24)))</f>
        <v/>
      </c>
      <c r="AO24" s="41">
        <f>IF($B24="","",IF('Employés'!D22="","",(AI24+AJ24+AL24)*'Employés'!D22))</f>
        <v/>
      </c>
    </row>
    <row r="25" ht="20" customHeight="1">
      <c r="A25" s="37">
        <f>IF('Employés'!B23="","",'Employés'!A23)</f>
        <v/>
      </c>
      <c r="B25" s="38">
        <f>IF('Employés'!B23="","",'Employés'!B23)</f>
        <v/>
      </c>
      <c r="C25" s="38">
        <f>IF('Employés'!C23="","",'Employés'!C23)</f>
        <v/>
      </c>
      <c r="D25" s="37" t="n"/>
      <c r="E25" s="37" t="n"/>
      <c r="F25" s="37" t="n"/>
      <c r="G25" s="37" t="n"/>
      <c r="H25" s="37" t="n"/>
      <c r="I25" s="37" t="n"/>
      <c r="J25" s="37" t="n"/>
      <c r="K25" s="37" t="n"/>
      <c r="L25" s="37" t="n"/>
      <c r="M25" s="37" t="n"/>
      <c r="N25" s="37" t="n"/>
      <c r="O25" s="37" t="n"/>
      <c r="P25" s="37" t="n"/>
      <c r="Q25" s="37" t="n"/>
      <c r="R25" s="37" t="n"/>
      <c r="S25" s="37" t="n"/>
      <c r="T25" s="37" t="n"/>
      <c r="U25" s="37" t="n"/>
      <c r="V25" s="37" t="n"/>
      <c r="W25" s="37" t="n"/>
      <c r="X25" s="37" t="n"/>
      <c r="Y25" s="37" t="n"/>
      <c r="Z25" s="37" t="n"/>
      <c r="AA25" s="37" t="n"/>
      <c r="AB25" s="37" t="n"/>
      <c r="AC25" s="37" t="n"/>
      <c r="AD25" s="37" t="n"/>
      <c r="AE25" s="37" t="n"/>
      <c r="AF25" s="37" t="n"/>
      <c r="AG25" s="37" t="n"/>
      <c r="AH25" s="37" t="n"/>
      <c r="AI25" s="39">
        <f>IF($B25="","",COUNTIF(D25:AH25,"P"))</f>
        <v/>
      </c>
      <c r="AJ25" s="39">
        <f>IF($B25="","",COUNTIF(D25:AH25,"R"))</f>
        <v/>
      </c>
      <c r="AK25" s="39">
        <f>IF($B25="","",COUNTIF(D25:AH25,"A"))</f>
        <v/>
      </c>
      <c r="AL25" s="39">
        <f>IF($B25="","",COUNTIF(D25:AH25,"C"))</f>
        <v/>
      </c>
      <c r="AM25" s="39">
        <f>IF($B25="","",COUNTIF(D25:AH25,"M"))</f>
        <v/>
      </c>
      <c r="AN25" s="40">
        <f>IF($B25="","",IF(AI25+AJ25+AK25+AM25=0,"",(AI25+AJ25)/(AI25+AJ25+AK25+AM25)))</f>
        <v/>
      </c>
      <c r="AO25" s="41">
        <f>IF($B25="","",IF('Employés'!D23="","",(AI25+AJ25+AL25)*'Employés'!D23))</f>
        <v/>
      </c>
    </row>
    <row r="26" ht="20" customHeight="1">
      <c r="A26" s="37">
        <f>IF('Employés'!B24="","",'Employés'!A24)</f>
        <v/>
      </c>
      <c r="B26" s="38">
        <f>IF('Employés'!B24="","",'Employés'!B24)</f>
        <v/>
      </c>
      <c r="C26" s="38">
        <f>IF('Employés'!C24="","",'Employés'!C24)</f>
        <v/>
      </c>
      <c r="D26" s="37" t="n"/>
      <c r="E26" s="37" t="n"/>
      <c r="F26" s="37" t="n"/>
      <c r="G26" s="37" t="n"/>
      <c r="H26" s="37" t="n"/>
      <c r="I26" s="37" t="n"/>
      <c r="J26" s="37" t="n"/>
      <c r="K26" s="37" t="n"/>
      <c r="L26" s="37" t="n"/>
      <c r="M26" s="37" t="n"/>
      <c r="N26" s="37" t="n"/>
      <c r="O26" s="37" t="n"/>
      <c r="P26" s="37" t="n"/>
      <c r="Q26" s="37" t="n"/>
      <c r="R26" s="37" t="n"/>
      <c r="S26" s="37" t="n"/>
      <c r="T26" s="37" t="n"/>
      <c r="U26" s="37" t="n"/>
      <c r="V26" s="37" t="n"/>
      <c r="W26" s="37" t="n"/>
      <c r="X26" s="37" t="n"/>
      <c r="Y26" s="37" t="n"/>
      <c r="Z26" s="37" t="n"/>
      <c r="AA26" s="37" t="n"/>
      <c r="AB26" s="37" t="n"/>
      <c r="AC26" s="37" t="n"/>
      <c r="AD26" s="37" t="n"/>
      <c r="AE26" s="37" t="n"/>
      <c r="AF26" s="37" t="n"/>
      <c r="AG26" s="37" t="n"/>
      <c r="AH26" s="37" t="n"/>
      <c r="AI26" s="39">
        <f>IF($B26="","",COUNTIF(D26:AH26,"P"))</f>
        <v/>
      </c>
      <c r="AJ26" s="39">
        <f>IF($B26="","",COUNTIF(D26:AH26,"R"))</f>
        <v/>
      </c>
      <c r="AK26" s="39">
        <f>IF($B26="","",COUNTIF(D26:AH26,"A"))</f>
        <v/>
      </c>
      <c r="AL26" s="39">
        <f>IF($B26="","",COUNTIF(D26:AH26,"C"))</f>
        <v/>
      </c>
      <c r="AM26" s="39">
        <f>IF($B26="","",COUNTIF(D26:AH26,"M"))</f>
        <v/>
      </c>
      <c r="AN26" s="40">
        <f>IF($B26="","",IF(AI26+AJ26+AK26+AM26=0,"",(AI26+AJ26)/(AI26+AJ26+AK26+AM26)))</f>
        <v/>
      </c>
      <c r="AO26" s="41">
        <f>IF($B26="","",IF('Employés'!D24="","",(AI26+AJ26+AL26)*'Employés'!D24))</f>
        <v/>
      </c>
    </row>
    <row r="27" ht="20" customHeight="1">
      <c r="A27" s="37">
        <f>IF('Employés'!B25="","",'Employés'!A25)</f>
        <v/>
      </c>
      <c r="B27" s="38">
        <f>IF('Employés'!B25="","",'Employés'!B25)</f>
        <v/>
      </c>
      <c r="C27" s="38">
        <f>IF('Employés'!C25="","",'Employés'!C25)</f>
        <v/>
      </c>
      <c r="D27" s="37" t="n"/>
      <c r="E27" s="37" t="n"/>
      <c r="F27" s="37" t="n"/>
      <c r="G27" s="37" t="n"/>
      <c r="H27" s="37" t="n"/>
      <c r="I27" s="37" t="n"/>
      <c r="J27" s="37" t="n"/>
      <c r="K27" s="37" t="n"/>
      <c r="L27" s="37" t="n"/>
      <c r="M27" s="37" t="n"/>
      <c r="N27" s="37" t="n"/>
      <c r="O27" s="37" t="n"/>
      <c r="P27" s="37" t="n"/>
      <c r="Q27" s="37" t="n"/>
      <c r="R27" s="37" t="n"/>
      <c r="S27" s="37" t="n"/>
      <c r="T27" s="37" t="n"/>
      <c r="U27" s="37" t="n"/>
      <c r="V27" s="37" t="n"/>
      <c r="W27" s="37" t="n"/>
      <c r="X27" s="37" t="n"/>
      <c r="Y27" s="37" t="n"/>
      <c r="Z27" s="37" t="n"/>
      <c r="AA27" s="37" t="n"/>
      <c r="AB27" s="37" t="n"/>
      <c r="AC27" s="37" t="n"/>
      <c r="AD27" s="37" t="n"/>
      <c r="AE27" s="37" t="n"/>
      <c r="AF27" s="37" t="n"/>
      <c r="AG27" s="37" t="n"/>
      <c r="AH27" s="37" t="n"/>
      <c r="AI27" s="39">
        <f>IF($B27="","",COUNTIF(D27:AH27,"P"))</f>
        <v/>
      </c>
      <c r="AJ27" s="39">
        <f>IF($B27="","",COUNTIF(D27:AH27,"R"))</f>
        <v/>
      </c>
      <c r="AK27" s="39">
        <f>IF($B27="","",COUNTIF(D27:AH27,"A"))</f>
        <v/>
      </c>
      <c r="AL27" s="39">
        <f>IF($B27="","",COUNTIF(D27:AH27,"C"))</f>
        <v/>
      </c>
      <c r="AM27" s="39">
        <f>IF($B27="","",COUNTIF(D27:AH27,"M"))</f>
        <v/>
      </c>
      <c r="AN27" s="40">
        <f>IF($B27="","",IF(AI27+AJ27+AK27+AM27=0,"",(AI27+AJ27)/(AI27+AJ27+AK27+AM27)))</f>
        <v/>
      </c>
      <c r="AO27" s="41">
        <f>IF($B27="","",IF('Employés'!D25="","",(AI27+AJ27+AL27)*'Employés'!D25))</f>
        <v/>
      </c>
    </row>
    <row r="28" ht="20" customHeight="1">
      <c r="A28" s="37">
        <f>IF('Employés'!B26="","",'Employés'!A26)</f>
        <v/>
      </c>
      <c r="B28" s="38">
        <f>IF('Employés'!B26="","",'Employés'!B26)</f>
        <v/>
      </c>
      <c r="C28" s="38">
        <f>IF('Employés'!C26="","",'Employés'!C26)</f>
        <v/>
      </c>
      <c r="D28" s="37" t="n"/>
      <c r="E28" s="37" t="n"/>
      <c r="F28" s="37" t="n"/>
      <c r="G28" s="37" t="n"/>
      <c r="H28" s="37" t="n"/>
      <c r="I28" s="37" t="n"/>
      <c r="J28" s="37" t="n"/>
      <c r="K28" s="37" t="n"/>
      <c r="L28" s="37" t="n"/>
      <c r="M28" s="37" t="n"/>
      <c r="N28" s="37" t="n"/>
      <c r="O28" s="37" t="n"/>
      <c r="P28" s="37" t="n"/>
      <c r="Q28" s="37" t="n"/>
      <c r="R28" s="37" t="n"/>
      <c r="S28" s="37" t="n"/>
      <c r="T28" s="37" t="n"/>
      <c r="U28" s="37" t="n"/>
      <c r="V28" s="37" t="n"/>
      <c r="W28" s="37" t="n"/>
      <c r="X28" s="37" t="n"/>
      <c r="Y28" s="37" t="n"/>
      <c r="Z28" s="37" t="n"/>
      <c r="AA28" s="37" t="n"/>
      <c r="AB28" s="37" t="n"/>
      <c r="AC28" s="37" t="n"/>
      <c r="AD28" s="37" t="n"/>
      <c r="AE28" s="37" t="n"/>
      <c r="AF28" s="37" t="n"/>
      <c r="AG28" s="37" t="n"/>
      <c r="AH28" s="37" t="n"/>
      <c r="AI28" s="39">
        <f>IF($B28="","",COUNTIF(D28:AH28,"P"))</f>
        <v/>
      </c>
      <c r="AJ28" s="39">
        <f>IF($B28="","",COUNTIF(D28:AH28,"R"))</f>
        <v/>
      </c>
      <c r="AK28" s="39">
        <f>IF($B28="","",COUNTIF(D28:AH28,"A"))</f>
        <v/>
      </c>
      <c r="AL28" s="39">
        <f>IF($B28="","",COUNTIF(D28:AH28,"C"))</f>
        <v/>
      </c>
      <c r="AM28" s="39">
        <f>IF($B28="","",COUNTIF(D28:AH28,"M"))</f>
        <v/>
      </c>
      <c r="AN28" s="40">
        <f>IF($B28="","",IF(AI28+AJ28+AK28+AM28=0,"",(AI28+AJ28)/(AI28+AJ28+AK28+AM28)))</f>
        <v/>
      </c>
      <c r="AO28" s="41">
        <f>IF($B28="","",IF('Employés'!D26="","",(AI28+AJ28+AL28)*'Employés'!D26))</f>
        <v/>
      </c>
    </row>
    <row r="29" ht="20" customHeight="1">
      <c r="A29" s="37">
        <f>IF('Employés'!B27="","",'Employés'!A27)</f>
        <v/>
      </c>
      <c r="B29" s="38">
        <f>IF('Employés'!B27="","",'Employés'!B27)</f>
        <v/>
      </c>
      <c r="C29" s="38">
        <f>IF('Employés'!C27="","",'Employés'!C27)</f>
        <v/>
      </c>
      <c r="D29" s="37" t="n"/>
      <c r="E29" s="37" t="n"/>
      <c r="F29" s="37" t="n"/>
      <c r="G29" s="37" t="n"/>
      <c r="H29" s="37" t="n"/>
      <c r="I29" s="37" t="n"/>
      <c r="J29" s="37" t="n"/>
      <c r="K29" s="37" t="n"/>
      <c r="L29" s="37" t="n"/>
      <c r="M29" s="37" t="n"/>
      <c r="N29" s="37" t="n"/>
      <c r="O29" s="37" t="n"/>
      <c r="P29" s="37" t="n"/>
      <c r="Q29" s="37" t="n"/>
      <c r="R29" s="37" t="n"/>
      <c r="S29" s="37" t="n"/>
      <c r="T29" s="37" t="n"/>
      <c r="U29" s="37" t="n"/>
      <c r="V29" s="37" t="n"/>
      <c r="W29" s="37" t="n"/>
      <c r="X29" s="37" t="n"/>
      <c r="Y29" s="37" t="n"/>
      <c r="Z29" s="37" t="n"/>
      <c r="AA29" s="37" t="n"/>
      <c r="AB29" s="37" t="n"/>
      <c r="AC29" s="37" t="n"/>
      <c r="AD29" s="37" t="n"/>
      <c r="AE29" s="37" t="n"/>
      <c r="AF29" s="37" t="n"/>
      <c r="AG29" s="37" t="n"/>
      <c r="AH29" s="37" t="n"/>
      <c r="AI29" s="39">
        <f>IF($B29="","",COUNTIF(D29:AH29,"P"))</f>
        <v/>
      </c>
      <c r="AJ29" s="39">
        <f>IF($B29="","",COUNTIF(D29:AH29,"R"))</f>
        <v/>
      </c>
      <c r="AK29" s="39">
        <f>IF($B29="","",COUNTIF(D29:AH29,"A"))</f>
        <v/>
      </c>
      <c r="AL29" s="39">
        <f>IF($B29="","",COUNTIF(D29:AH29,"C"))</f>
        <v/>
      </c>
      <c r="AM29" s="39">
        <f>IF($B29="","",COUNTIF(D29:AH29,"M"))</f>
        <v/>
      </c>
      <c r="AN29" s="40">
        <f>IF($B29="","",IF(AI29+AJ29+AK29+AM29=0,"",(AI29+AJ29)/(AI29+AJ29+AK29+AM29)))</f>
        <v/>
      </c>
      <c r="AO29" s="41">
        <f>IF($B29="","",IF('Employés'!D27="","",(AI29+AJ29+AL29)*'Employés'!D27))</f>
        <v/>
      </c>
    </row>
    <row r="30" ht="20" customHeight="1">
      <c r="A30" s="37">
        <f>IF('Employés'!B28="","",'Employés'!A28)</f>
        <v/>
      </c>
      <c r="B30" s="38">
        <f>IF('Employés'!B28="","",'Employés'!B28)</f>
        <v/>
      </c>
      <c r="C30" s="38">
        <f>IF('Employés'!C28="","",'Employés'!C28)</f>
        <v/>
      </c>
      <c r="D30" s="37" t="n"/>
      <c r="E30" s="37" t="n"/>
      <c r="F30" s="37" t="n"/>
      <c r="G30" s="37" t="n"/>
      <c r="H30" s="37" t="n"/>
      <c r="I30" s="37" t="n"/>
      <c r="J30" s="37" t="n"/>
      <c r="K30" s="37" t="n"/>
      <c r="L30" s="37" t="n"/>
      <c r="M30" s="37" t="n"/>
      <c r="N30" s="37" t="n"/>
      <c r="O30" s="37" t="n"/>
      <c r="P30" s="37" t="n"/>
      <c r="Q30" s="37" t="n"/>
      <c r="R30" s="37" t="n"/>
      <c r="S30" s="37" t="n"/>
      <c r="T30" s="37" t="n"/>
      <c r="U30" s="37" t="n"/>
      <c r="V30" s="37" t="n"/>
      <c r="W30" s="37" t="n"/>
      <c r="X30" s="37" t="n"/>
      <c r="Y30" s="37" t="n"/>
      <c r="Z30" s="37" t="n"/>
      <c r="AA30" s="37" t="n"/>
      <c r="AB30" s="37" t="n"/>
      <c r="AC30" s="37" t="n"/>
      <c r="AD30" s="37" t="n"/>
      <c r="AE30" s="37" t="n"/>
      <c r="AF30" s="37" t="n"/>
      <c r="AG30" s="37" t="n"/>
      <c r="AH30" s="37" t="n"/>
      <c r="AI30" s="39">
        <f>IF($B30="","",COUNTIF(D30:AH30,"P"))</f>
        <v/>
      </c>
      <c r="AJ30" s="39">
        <f>IF($B30="","",COUNTIF(D30:AH30,"R"))</f>
        <v/>
      </c>
      <c r="AK30" s="39">
        <f>IF($B30="","",COUNTIF(D30:AH30,"A"))</f>
        <v/>
      </c>
      <c r="AL30" s="39">
        <f>IF($B30="","",COUNTIF(D30:AH30,"C"))</f>
        <v/>
      </c>
      <c r="AM30" s="39">
        <f>IF($B30="","",COUNTIF(D30:AH30,"M"))</f>
        <v/>
      </c>
      <c r="AN30" s="40">
        <f>IF($B30="","",IF(AI30+AJ30+AK30+AM30=0,"",(AI30+AJ30)/(AI30+AJ30+AK30+AM30)))</f>
        <v/>
      </c>
      <c r="AO30" s="41">
        <f>IF($B30="","",IF('Employés'!D28="","",(AI30+AJ30+AL30)*'Employés'!D28))</f>
        <v/>
      </c>
    </row>
    <row r="31" ht="20" customHeight="1">
      <c r="A31" s="37">
        <f>IF('Employés'!B29="","",'Employés'!A29)</f>
        <v/>
      </c>
      <c r="B31" s="38">
        <f>IF('Employés'!B29="","",'Employés'!B29)</f>
        <v/>
      </c>
      <c r="C31" s="38">
        <f>IF('Employés'!C29="","",'Employés'!C29)</f>
        <v/>
      </c>
      <c r="D31" s="37" t="n"/>
      <c r="E31" s="37" t="n"/>
      <c r="F31" s="37" t="n"/>
      <c r="G31" s="37" t="n"/>
      <c r="H31" s="37" t="n"/>
      <c r="I31" s="37" t="n"/>
      <c r="J31" s="37" t="n"/>
      <c r="K31" s="37" t="n"/>
      <c r="L31" s="37" t="n"/>
      <c r="M31" s="37" t="n"/>
      <c r="N31" s="37" t="n"/>
      <c r="O31" s="37" t="n"/>
      <c r="P31" s="37" t="n"/>
      <c r="Q31" s="37" t="n"/>
      <c r="R31" s="37" t="n"/>
      <c r="S31" s="37" t="n"/>
      <c r="T31" s="37" t="n"/>
      <c r="U31" s="37" t="n"/>
      <c r="V31" s="37" t="n"/>
      <c r="W31" s="37" t="n"/>
      <c r="X31" s="37" t="n"/>
      <c r="Y31" s="37" t="n"/>
      <c r="Z31" s="37" t="n"/>
      <c r="AA31" s="37" t="n"/>
      <c r="AB31" s="37" t="n"/>
      <c r="AC31" s="37" t="n"/>
      <c r="AD31" s="37" t="n"/>
      <c r="AE31" s="37" t="n"/>
      <c r="AF31" s="37" t="n"/>
      <c r="AG31" s="37" t="n"/>
      <c r="AH31" s="37" t="n"/>
      <c r="AI31" s="39">
        <f>IF($B31="","",COUNTIF(D31:AH31,"P"))</f>
        <v/>
      </c>
      <c r="AJ31" s="39">
        <f>IF($B31="","",COUNTIF(D31:AH31,"R"))</f>
        <v/>
      </c>
      <c r="AK31" s="39">
        <f>IF($B31="","",COUNTIF(D31:AH31,"A"))</f>
        <v/>
      </c>
      <c r="AL31" s="39">
        <f>IF($B31="","",COUNTIF(D31:AH31,"C"))</f>
        <v/>
      </c>
      <c r="AM31" s="39">
        <f>IF($B31="","",COUNTIF(D31:AH31,"M"))</f>
        <v/>
      </c>
      <c r="AN31" s="40">
        <f>IF($B31="","",IF(AI31+AJ31+AK31+AM31=0,"",(AI31+AJ31)/(AI31+AJ31+AK31+AM31)))</f>
        <v/>
      </c>
      <c r="AO31" s="41">
        <f>IF($B31="","",IF('Employés'!D29="","",(AI31+AJ31+AL31)*'Employés'!D29))</f>
        <v/>
      </c>
    </row>
    <row r="32" ht="20" customHeight="1">
      <c r="A32" s="37">
        <f>IF('Employés'!B30="","",'Employés'!A30)</f>
        <v/>
      </c>
      <c r="B32" s="38">
        <f>IF('Employés'!B30="","",'Employés'!B30)</f>
        <v/>
      </c>
      <c r="C32" s="38">
        <f>IF('Employés'!C30="","",'Employés'!C30)</f>
        <v/>
      </c>
      <c r="D32" s="37" t="n"/>
      <c r="E32" s="37" t="n"/>
      <c r="F32" s="37" t="n"/>
      <c r="G32" s="37" t="n"/>
      <c r="H32" s="37" t="n"/>
      <c r="I32" s="37" t="n"/>
      <c r="J32" s="37" t="n"/>
      <c r="K32" s="37" t="n"/>
      <c r="L32" s="37" t="n"/>
      <c r="M32" s="37" t="n"/>
      <c r="N32" s="37" t="n"/>
      <c r="O32" s="37" t="n"/>
      <c r="P32" s="37" t="n"/>
      <c r="Q32" s="37" t="n"/>
      <c r="R32" s="37" t="n"/>
      <c r="S32" s="37" t="n"/>
      <c r="T32" s="37" t="n"/>
      <c r="U32" s="37" t="n"/>
      <c r="V32" s="37" t="n"/>
      <c r="W32" s="37" t="n"/>
      <c r="X32" s="37" t="n"/>
      <c r="Y32" s="37" t="n"/>
      <c r="Z32" s="37" t="n"/>
      <c r="AA32" s="37" t="n"/>
      <c r="AB32" s="37" t="n"/>
      <c r="AC32" s="37" t="n"/>
      <c r="AD32" s="37" t="n"/>
      <c r="AE32" s="37" t="n"/>
      <c r="AF32" s="37" t="n"/>
      <c r="AG32" s="37" t="n"/>
      <c r="AH32" s="37" t="n"/>
      <c r="AI32" s="39">
        <f>IF($B32="","",COUNTIF(D32:AH32,"P"))</f>
        <v/>
      </c>
      <c r="AJ32" s="39">
        <f>IF($B32="","",COUNTIF(D32:AH32,"R"))</f>
        <v/>
      </c>
      <c r="AK32" s="39">
        <f>IF($B32="","",COUNTIF(D32:AH32,"A"))</f>
        <v/>
      </c>
      <c r="AL32" s="39">
        <f>IF($B32="","",COUNTIF(D32:AH32,"C"))</f>
        <v/>
      </c>
      <c r="AM32" s="39">
        <f>IF($B32="","",COUNTIF(D32:AH32,"M"))</f>
        <v/>
      </c>
      <c r="AN32" s="40">
        <f>IF($B32="","",IF(AI32+AJ32+AK32+AM32=0,"",(AI32+AJ32)/(AI32+AJ32+AK32+AM32)))</f>
        <v/>
      </c>
      <c r="AO32" s="41">
        <f>IF($B32="","",IF('Employés'!D30="","",(AI32+AJ32+AL32)*'Employés'!D30))</f>
        <v/>
      </c>
    </row>
    <row r="33" ht="20" customHeight="1">
      <c r="A33" s="37">
        <f>IF('Employés'!B31="","",'Employés'!A31)</f>
        <v/>
      </c>
      <c r="B33" s="38">
        <f>IF('Employés'!B31="","",'Employés'!B31)</f>
        <v/>
      </c>
      <c r="C33" s="38">
        <f>IF('Employés'!C31="","",'Employés'!C31)</f>
        <v/>
      </c>
      <c r="D33" s="37" t="n"/>
      <c r="E33" s="37" t="n"/>
      <c r="F33" s="37" t="n"/>
      <c r="G33" s="37" t="n"/>
      <c r="H33" s="37" t="n"/>
      <c r="I33" s="37" t="n"/>
      <c r="J33" s="37" t="n"/>
      <c r="K33" s="37" t="n"/>
      <c r="L33" s="37" t="n"/>
      <c r="M33" s="37" t="n"/>
      <c r="N33" s="37" t="n"/>
      <c r="O33" s="37" t="n"/>
      <c r="P33" s="37" t="n"/>
      <c r="Q33" s="37" t="n"/>
      <c r="R33" s="37" t="n"/>
      <c r="S33" s="37" t="n"/>
      <c r="T33" s="37" t="n"/>
      <c r="U33" s="37" t="n"/>
      <c r="V33" s="37" t="n"/>
      <c r="W33" s="37" t="n"/>
      <c r="X33" s="37" t="n"/>
      <c r="Y33" s="37" t="n"/>
      <c r="Z33" s="37" t="n"/>
      <c r="AA33" s="37" t="n"/>
      <c r="AB33" s="37" t="n"/>
      <c r="AC33" s="37" t="n"/>
      <c r="AD33" s="37" t="n"/>
      <c r="AE33" s="37" t="n"/>
      <c r="AF33" s="37" t="n"/>
      <c r="AG33" s="37" t="n"/>
      <c r="AH33" s="37" t="n"/>
      <c r="AI33" s="39">
        <f>IF($B33="","",COUNTIF(D33:AH33,"P"))</f>
        <v/>
      </c>
      <c r="AJ33" s="39">
        <f>IF($B33="","",COUNTIF(D33:AH33,"R"))</f>
        <v/>
      </c>
      <c r="AK33" s="39">
        <f>IF($B33="","",COUNTIF(D33:AH33,"A"))</f>
        <v/>
      </c>
      <c r="AL33" s="39">
        <f>IF($B33="","",COUNTIF(D33:AH33,"C"))</f>
        <v/>
      </c>
      <c r="AM33" s="39">
        <f>IF($B33="","",COUNTIF(D33:AH33,"M"))</f>
        <v/>
      </c>
      <c r="AN33" s="40">
        <f>IF($B33="","",IF(AI33+AJ33+AK33+AM33=0,"",(AI33+AJ33)/(AI33+AJ33+AK33+AM33)))</f>
        <v/>
      </c>
      <c r="AO33" s="41">
        <f>IF($B33="","",IF('Employés'!D31="","",(AI33+AJ33+AL33)*'Employés'!D31))</f>
        <v/>
      </c>
    </row>
    <row r="34" ht="20" customHeight="1">
      <c r="A34" s="37">
        <f>IF('Employés'!B32="","",'Employés'!A32)</f>
        <v/>
      </c>
      <c r="B34" s="38">
        <f>IF('Employés'!B32="","",'Employés'!B32)</f>
        <v/>
      </c>
      <c r="C34" s="38">
        <f>IF('Employés'!C32="","",'Employés'!C32)</f>
        <v/>
      </c>
      <c r="D34" s="37" t="n"/>
      <c r="E34" s="37" t="n"/>
      <c r="F34" s="37" t="n"/>
      <c r="G34" s="37" t="n"/>
      <c r="H34" s="37" t="n"/>
      <c r="I34" s="37" t="n"/>
      <c r="J34" s="37" t="n"/>
      <c r="K34" s="37" t="n"/>
      <c r="L34" s="37" t="n"/>
      <c r="M34" s="37" t="n"/>
      <c r="N34" s="37" t="n"/>
      <c r="O34" s="37" t="n"/>
      <c r="P34" s="37" t="n"/>
      <c r="Q34" s="37" t="n"/>
      <c r="R34" s="37" t="n"/>
      <c r="S34" s="37" t="n"/>
      <c r="T34" s="37" t="n"/>
      <c r="U34" s="37" t="n"/>
      <c r="V34" s="37" t="n"/>
      <c r="W34" s="37" t="n"/>
      <c r="X34" s="37" t="n"/>
      <c r="Y34" s="37" t="n"/>
      <c r="Z34" s="37" t="n"/>
      <c r="AA34" s="37" t="n"/>
      <c r="AB34" s="37" t="n"/>
      <c r="AC34" s="37" t="n"/>
      <c r="AD34" s="37" t="n"/>
      <c r="AE34" s="37" t="n"/>
      <c r="AF34" s="37" t="n"/>
      <c r="AG34" s="37" t="n"/>
      <c r="AH34" s="37" t="n"/>
      <c r="AI34" s="39">
        <f>IF($B34="","",COUNTIF(D34:AH34,"P"))</f>
        <v/>
      </c>
      <c r="AJ34" s="39">
        <f>IF($B34="","",COUNTIF(D34:AH34,"R"))</f>
        <v/>
      </c>
      <c r="AK34" s="39">
        <f>IF($B34="","",COUNTIF(D34:AH34,"A"))</f>
        <v/>
      </c>
      <c r="AL34" s="39">
        <f>IF($B34="","",COUNTIF(D34:AH34,"C"))</f>
        <v/>
      </c>
      <c r="AM34" s="39">
        <f>IF($B34="","",COUNTIF(D34:AH34,"M"))</f>
        <v/>
      </c>
      <c r="AN34" s="40">
        <f>IF($B34="","",IF(AI34+AJ34+AK34+AM34=0,"",(AI34+AJ34)/(AI34+AJ34+AK34+AM34)))</f>
        <v/>
      </c>
      <c r="AO34" s="41">
        <f>IF($B34="","",IF('Employés'!D32="","",(AI34+AJ34+AL34)*'Employés'!D32))</f>
        <v/>
      </c>
    </row>
    <row r="35" ht="20" customHeight="1">
      <c r="A35" s="37">
        <f>IF('Employés'!B33="","",'Employés'!A33)</f>
        <v/>
      </c>
      <c r="B35" s="38">
        <f>IF('Employés'!B33="","",'Employés'!B33)</f>
        <v/>
      </c>
      <c r="C35" s="38">
        <f>IF('Employés'!C33="","",'Employés'!C33)</f>
        <v/>
      </c>
      <c r="D35" s="37" t="n"/>
      <c r="E35" s="37" t="n"/>
      <c r="F35" s="37" t="n"/>
      <c r="G35" s="37" t="n"/>
      <c r="H35" s="37" t="n"/>
      <c r="I35" s="37" t="n"/>
      <c r="J35" s="37" t="n"/>
      <c r="K35" s="37" t="n"/>
      <c r="L35" s="37" t="n"/>
      <c r="M35" s="37" t="n"/>
      <c r="N35" s="37" t="n"/>
      <c r="O35" s="37" t="n"/>
      <c r="P35" s="37" t="n"/>
      <c r="Q35" s="37" t="n"/>
      <c r="R35" s="37" t="n"/>
      <c r="S35" s="37" t="n"/>
      <c r="T35" s="37" t="n"/>
      <c r="U35" s="37" t="n"/>
      <c r="V35" s="37" t="n"/>
      <c r="W35" s="37" t="n"/>
      <c r="X35" s="37" t="n"/>
      <c r="Y35" s="37" t="n"/>
      <c r="Z35" s="37" t="n"/>
      <c r="AA35" s="37" t="n"/>
      <c r="AB35" s="37" t="n"/>
      <c r="AC35" s="37" t="n"/>
      <c r="AD35" s="37" t="n"/>
      <c r="AE35" s="37" t="n"/>
      <c r="AF35" s="37" t="n"/>
      <c r="AG35" s="37" t="n"/>
      <c r="AH35" s="37" t="n"/>
      <c r="AI35" s="39">
        <f>IF($B35="","",COUNTIF(D35:AH35,"P"))</f>
        <v/>
      </c>
      <c r="AJ35" s="39">
        <f>IF($B35="","",COUNTIF(D35:AH35,"R"))</f>
        <v/>
      </c>
      <c r="AK35" s="39">
        <f>IF($B35="","",COUNTIF(D35:AH35,"A"))</f>
        <v/>
      </c>
      <c r="AL35" s="39">
        <f>IF($B35="","",COUNTIF(D35:AH35,"C"))</f>
        <v/>
      </c>
      <c r="AM35" s="39">
        <f>IF($B35="","",COUNTIF(D35:AH35,"M"))</f>
        <v/>
      </c>
      <c r="AN35" s="40">
        <f>IF($B35="","",IF(AI35+AJ35+AK35+AM35=0,"",(AI35+AJ35)/(AI35+AJ35+AK35+AM35)))</f>
        <v/>
      </c>
      <c r="AO35" s="41">
        <f>IF($B35="","",IF('Employés'!D33="","",(AI35+AJ35+AL35)*'Employés'!D33))</f>
        <v/>
      </c>
    </row>
    <row r="36" ht="20" customHeight="1">
      <c r="A36" s="37">
        <f>IF('Employés'!B34="","",'Employés'!A34)</f>
        <v/>
      </c>
      <c r="B36" s="38">
        <f>IF('Employés'!B34="","",'Employés'!B34)</f>
        <v/>
      </c>
      <c r="C36" s="38">
        <f>IF('Employés'!C34="","",'Employés'!C34)</f>
        <v/>
      </c>
      <c r="D36" s="37" t="n"/>
      <c r="E36" s="37" t="n"/>
      <c r="F36" s="37" t="n"/>
      <c r="G36" s="37" t="n"/>
      <c r="H36" s="37" t="n"/>
      <c r="I36" s="37" t="n"/>
      <c r="J36" s="37" t="n"/>
      <c r="K36" s="37" t="n"/>
      <c r="L36" s="37" t="n"/>
      <c r="M36" s="37" t="n"/>
      <c r="N36" s="37" t="n"/>
      <c r="O36" s="37" t="n"/>
      <c r="P36" s="37" t="n"/>
      <c r="Q36" s="37" t="n"/>
      <c r="R36" s="37" t="n"/>
      <c r="S36" s="37" t="n"/>
      <c r="T36" s="37" t="n"/>
      <c r="U36" s="37" t="n"/>
      <c r="V36" s="37" t="n"/>
      <c r="W36" s="37" t="n"/>
      <c r="X36" s="37" t="n"/>
      <c r="Y36" s="37" t="n"/>
      <c r="Z36" s="37" t="n"/>
      <c r="AA36" s="37" t="n"/>
      <c r="AB36" s="37" t="n"/>
      <c r="AC36" s="37" t="n"/>
      <c r="AD36" s="37" t="n"/>
      <c r="AE36" s="37" t="n"/>
      <c r="AF36" s="37" t="n"/>
      <c r="AG36" s="37" t="n"/>
      <c r="AH36" s="37" t="n"/>
      <c r="AI36" s="39">
        <f>IF($B36="","",COUNTIF(D36:AH36,"P"))</f>
        <v/>
      </c>
      <c r="AJ36" s="39">
        <f>IF($B36="","",COUNTIF(D36:AH36,"R"))</f>
        <v/>
      </c>
      <c r="AK36" s="39">
        <f>IF($B36="","",COUNTIF(D36:AH36,"A"))</f>
        <v/>
      </c>
      <c r="AL36" s="39">
        <f>IF($B36="","",COUNTIF(D36:AH36,"C"))</f>
        <v/>
      </c>
      <c r="AM36" s="39">
        <f>IF($B36="","",COUNTIF(D36:AH36,"M"))</f>
        <v/>
      </c>
      <c r="AN36" s="40">
        <f>IF($B36="","",IF(AI36+AJ36+AK36+AM36=0,"",(AI36+AJ36)/(AI36+AJ36+AK36+AM36)))</f>
        <v/>
      </c>
      <c r="AO36" s="41">
        <f>IF($B36="","",IF('Employés'!D34="","",(AI36+AJ36+AL36)*'Employés'!D34))</f>
        <v/>
      </c>
    </row>
    <row r="37">
      <c r="A37" s="42" t="n"/>
      <c r="B37" s="42" t="inlineStr">
        <is>
          <t>TOTAL</t>
        </is>
      </c>
      <c r="C37" s="42" t="n"/>
      <c r="D37" s="42" t="n"/>
      <c r="E37" s="42" t="n"/>
      <c r="F37" s="42" t="n"/>
      <c r="G37" s="42" t="n"/>
      <c r="H37" s="42" t="n"/>
      <c r="I37" s="42" t="n"/>
      <c r="J37" s="42" t="n"/>
      <c r="K37" s="42" t="n"/>
      <c r="L37" s="42" t="n"/>
      <c r="M37" s="42" t="n"/>
      <c r="N37" s="42" t="n"/>
      <c r="O37" s="42" t="n"/>
      <c r="P37" s="42" t="n"/>
      <c r="Q37" s="42" t="n"/>
      <c r="R37" s="42" t="n"/>
      <c r="S37" s="42" t="n"/>
      <c r="T37" s="42" t="n"/>
      <c r="U37" s="42" t="n"/>
      <c r="V37" s="42" t="n"/>
      <c r="W37" s="42" t="n"/>
      <c r="X37" s="42" t="n"/>
      <c r="Y37" s="42" t="n"/>
      <c r="Z37" s="42" t="n"/>
      <c r="AA37" s="42" t="n"/>
      <c r="AB37" s="42" t="n"/>
      <c r="AC37" s="42" t="n"/>
      <c r="AD37" s="42" t="n"/>
      <c r="AE37" s="42" t="n"/>
      <c r="AF37" s="42" t="n"/>
      <c r="AG37" s="42" t="n"/>
      <c r="AH37" s="42" t="n"/>
      <c r="AI37" s="42">
        <f>SUM(AI7:AI36)</f>
        <v/>
      </c>
      <c r="AJ37" s="42">
        <f>SUM(AJ7:AJ36)</f>
        <v/>
      </c>
      <c r="AK37" s="42">
        <f>SUM(AK7:AK36)</f>
        <v/>
      </c>
      <c r="AL37" s="42">
        <f>SUM(AL7:AL36)</f>
        <v/>
      </c>
      <c r="AM37" s="42">
        <f>SUM(AM7:AM36)</f>
        <v/>
      </c>
      <c r="AN37" s="42" t="n"/>
      <c r="AO37" s="43">
        <f>SUM(AO7:AO36)</f>
        <v/>
      </c>
    </row>
  </sheetData>
  <mergeCells count="17">
    <mergeCell ref="A5:A6"/>
    <mergeCell ref="A2:AO2"/>
    <mergeCell ref="AI5:AI6"/>
    <mergeCell ref="D3:G3"/>
    <mergeCell ref="S3:V3"/>
    <mergeCell ref="X3:AA3"/>
    <mergeCell ref="AJ5:AJ6"/>
    <mergeCell ref="AK5:AK6"/>
    <mergeCell ref="I3:L3"/>
    <mergeCell ref="AL5:AL6"/>
    <mergeCell ref="AM5:AM6"/>
    <mergeCell ref="AN5:AN6"/>
    <mergeCell ref="A1:AO1"/>
    <mergeCell ref="N3:Q3"/>
    <mergeCell ref="AO5:AO6"/>
    <mergeCell ref="B5:B6"/>
    <mergeCell ref="C5:C6"/>
  </mergeCells>
  <conditionalFormatting sqref="D7:AH36">
    <cfRule type="expression" priority="1" dxfId="0">
      <formula>UPPER(D7)="P"</formula>
    </cfRule>
    <cfRule type="expression" priority="2" dxfId="1">
      <formula>UPPER(D7)="R"</formula>
    </cfRule>
    <cfRule type="expression" priority="3" dxfId="2">
      <formula>UPPER(D7)="A"</formula>
    </cfRule>
    <cfRule type="expression" priority="4" dxfId="3">
      <formula>UPPER(D7)="C"</formula>
    </cfRule>
    <cfRule type="expression" priority="5" dxfId="4">
      <formula>UPPER(D7)="M"</formula>
    </cfRule>
    <cfRule type="expression" priority="6" dxfId="5">
      <formula>OR(D$6="Sam",D$6="Dim",D$5="")</formula>
    </cfRule>
  </conditionalFormatting>
  <dataValidations count="1">
    <dataValidation sqref="D7:AH36" showDropDown="0" showInputMessage="0" showErrorMessage="1" allowBlank="1" errorTitle="Code inconnu" error="Utilisez P, R, A, C ou M." type="list">
      <formula1>"P,R,A,C,M"</formula1>
    </dataValidation>
  </dataValidations>
  <pageMargins left="0.75" right="0.75" top="1" bottom="1" header="0.5" footer="0.5"/>
  <pageSetup orientation="landscape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AO37"/>
  <sheetViews>
    <sheetView zoomScale="90" workbookViewId="0">
      <pane xSplit="3" ySplit="6" topLeftCell="D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24" customWidth="1" min="2" max="2"/>
    <col width="14" customWidth="1" min="3" max="3"/>
    <col width="4.6" customWidth="1" min="4" max="4"/>
    <col width="4.6" customWidth="1" min="5" max="5"/>
    <col width="4.6" customWidth="1" min="6" max="6"/>
    <col width="4.6" customWidth="1" min="7" max="7"/>
    <col width="4.6" customWidth="1" min="8" max="8"/>
    <col width="4.6" customWidth="1" min="9" max="9"/>
    <col width="4.6" customWidth="1" min="10" max="10"/>
    <col width="4.6" customWidth="1" min="11" max="11"/>
    <col width="4.6" customWidth="1" min="12" max="12"/>
    <col width="4.6" customWidth="1" min="13" max="13"/>
    <col width="4.6" customWidth="1" min="14" max="14"/>
    <col width="4.6" customWidth="1" min="15" max="15"/>
    <col width="4.6" customWidth="1" min="16" max="16"/>
    <col width="4.6" customWidth="1" min="17" max="17"/>
    <col width="4.6" customWidth="1" min="18" max="18"/>
    <col width="4.6" customWidth="1" min="19" max="19"/>
    <col width="4.6" customWidth="1" min="20" max="20"/>
    <col width="4.6" customWidth="1" min="21" max="21"/>
    <col width="4.6" customWidth="1" min="22" max="22"/>
    <col width="4.6" customWidth="1" min="23" max="23"/>
    <col width="4.6" customWidth="1" min="24" max="24"/>
    <col width="4.6" customWidth="1" min="25" max="25"/>
    <col width="4.6" customWidth="1" min="26" max="26"/>
    <col width="4.6" customWidth="1" min="27" max="27"/>
    <col width="4.6" customWidth="1" min="28" max="28"/>
    <col width="4.6" customWidth="1" min="29" max="29"/>
    <col width="4.6" customWidth="1" min="30" max="30"/>
    <col width="4.6" customWidth="1" min="31" max="31"/>
    <col width="4.6" customWidth="1" min="32" max="32"/>
    <col width="4.6" customWidth="1" min="33" max="33"/>
    <col width="4.6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13" customWidth="1" min="40" max="40"/>
    <col width="13" customWidth="1" min="41" max="41"/>
  </cols>
  <sheetData>
    <row r="1" ht="34" customHeight="1">
      <c r="A1" s="1">
        <f>'Paramètres'!$B$4&amp;" · Pointage de Février "&amp;'Paramètres'!$B$5</f>
        <v/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</row>
    <row r="2" ht="20" customHeight="1">
      <c r="A2" s="3" t="inlineStr">
        <is>
          <t>Outil offert par Logia (DWTS) · Un logiciel sur mesure pour votre entreprise ? WhatsApp 062 67 14 45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2" t="n"/>
      <c r="AL2" s="2" t="n"/>
      <c r="AM2" s="2" t="n"/>
      <c r="AN2" s="2" t="n"/>
      <c r="AO2" s="2" t="n"/>
    </row>
    <row r="3">
      <c r="A3" s="6" t="inlineStr">
        <is>
          <t>Codes :</t>
        </is>
      </c>
      <c r="D3" s="30" t="inlineStr">
        <is>
          <t>P = Présent</t>
        </is>
      </c>
      <c r="I3" s="31" t="inlineStr">
        <is>
          <t>R = En retard</t>
        </is>
      </c>
      <c r="N3" s="32" t="inlineStr">
        <is>
          <t>A = Absent</t>
        </is>
      </c>
      <c r="S3" s="33" t="inlineStr">
        <is>
          <t>C = Congé</t>
        </is>
      </c>
      <c r="X3" s="34" t="inlineStr">
        <is>
          <t>M = Malade</t>
        </is>
      </c>
    </row>
    <row r="5" ht="22" customHeight="1">
      <c r="A5" s="35" t="inlineStr">
        <is>
          <t>ID</t>
        </is>
      </c>
      <c r="B5" s="35" t="inlineStr">
        <is>
          <t>Nom</t>
        </is>
      </c>
      <c r="C5" s="35" t="inlineStr">
        <is>
          <t>Poste</t>
        </is>
      </c>
      <c r="D5" s="35">
        <f>IF(MONTH(DATE('Paramètres'!$B$5,2,1))=2,1,"")</f>
        <v/>
      </c>
      <c r="E5" s="35">
        <f>IF(MONTH(DATE('Paramètres'!$B$5,2,2))=2,2,"")</f>
        <v/>
      </c>
      <c r="F5" s="35">
        <f>IF(MONTH(DATE('Paramètres'!$B$5,2,3))=2,3,"")</f>
        <v/>
      </c>
      <c r="G5" s="35">
        <f>IF(MONTH(DATE('Paramètres'!$B$5,2,4))=2,4,"")</f>
        <v/>
      </c>
      <c r="H5" s="35">
        <f>IF(MONTH(DATE('Paramètres'!$B$5,2,5))=2,5,"")</f>
        <v/>
      </c>
      <c r="I5" s="35">
        <f>IF(MONTH(DATE('Paramètres'!$B$5,2,6))=2,6,"")</f>
        <v/>
      </c>
      <c r="J5" s="35">
        <f>IF(MONTH(DATE('Paramètres'!$B$5,2,7))=2,7,"")</f>
        <v/>
      </c>
      <c r="K5" s="35">
        <f>IF(MONTH(DATE('Paramètres'!$B$5,2,8))=2,8,"")</f>
        <v/>
      </c>
      <c r="L5" s="35">
        <f>IF(MONTH(DATE('Paramètres'!$B$5,2,9))=2,9,"")</f>
        <v/>
      </c>
      <c r="M5" s="35">
        <f>IF(MONTH(DATE('Paramètres'!$B$5,2,10))=2,10,"")</f>
        <v/>
      </c>
      <c r="N5" s="35">
        <f>IF(MONTH(DATE('Paramètres'!$B$5,2,11))=2,11,"")</f>
        <v/>
      </c>
      <c r="O5" s="35">
        <f>IF(MONTH(DATE('Paramètres'!$B$5,2,12))=2,12,"")</f>
        <v/>
      </c>
      <c r="P5" s="35">
        <f>IF(MONTH(DATE('Paramètres'!$B$5,2,13))=2,13,"")</f>
        <v/>
      </c>
      <c r="Q5" s="35">
        <f>IF(MONTH(DATE('Paramètres'!$B$5,2,14))=2,14,"")</f>
        <v/>
      </c>
      <c r="R5" s="35">
        <f>IF(MONTH(DATE('Paramètres'!$B$5,2,15))=2,15,"")</f>
        <v/>
      </c>
      <c r="S5" s="35">
        <f>IF(MONTH(DATE('Paramètres'!$B$5,2,16))=2,16,"")</f>
        <v/>
      </c>
      <c r="T5" s="35">
        <f>IF(MONTH(DATE('Paramètres'!$B$5,2,17))=2,17,"")</f>
        <v/>
      </c>
      <c r="U5" s="35">
        <f>IF(MONTH(DATE('Paramètres'!$B$5,2,18))=2,18,"")</f>
        <v/>
      </c>
      <c r="V5" s="35">
        <f>IF(MONTH(DATE('Paramètres'!$B$5,2,19))=2,19,"")</f>
        <v/>
      </c>
      <c r="W5" s="35">
        <f>IF(MONTH(DATE('Paramètres'!$B$5,2,20))=2,20,"")</f>
        <v/>
      </c>
      <c r="X5" s="35">
        <f>IF(MONTH(DATE('Paramètres'!$B$5,2,21))=2,21,"")</f>
        <v/>
      </c>
      <c r="Y5" s="35">
        <f>IF(MONTH(DATE('Paramètres'!$B$5,2,22))=2,22,"")</f>
        <v/>
      </c>
      <c r="Z5" s="35">
        <f>IF(MONTH(DATE('Paramètres'!$B$5,2,23))=2,23,"")</f>
        <v/>
      </c>
      <c r="AA5" s="35">
        <f>IF(MONTH(DATE('Paramètres'!$B$5,2,24))=2,24,"")</f>
        <v/>
      </c>
      <c r="AB5" s="35">
        <f>IF(MONTH(DATE('Paramètres'!$B$5,2,25))=2,25,"")</f>
        <v/>
      </c>
      <c r="AC5" s="35">
        <f>IF(MONTH(DATE('Paramètres'!$B$5,2,26))=2,26,"")</f>
        <v/>
      </c>
      <c r="AD5" s="35">
        <f>IF(MONTH(DATE('Paramètres'!$B$5,2,27))=2,27,"")</f>
        <v/>
      </c>
      <c r="AE5" s="35">
        <f>IF(MONTH(DATE('Paramètres'!$B$5,2,28))=2,28,"")</f>
        <v/>
      </c>
      <c r="AF5" s="35">
        <f>IF(MONTH(DATE('Paramètres'!$B$5,2,29))=2,29,"")</f>
        <v/>
      </c>
      <c r="AG5" s="35">
        <f>IF(MONTH(DATE('Paramètres'!$B$5,2,30))=2,30,"")</f>
        <v/>
      </c>
      <c r="AH5" s="35">
        <f>IF(MONTH(DATE('Paramètres'!$B$5,2,31))=2,31,"")</f>
        <v/>
      </c>
      <c r="AI5" s="36" t="inlineStr">
        <is>
          <t>Présent</t>
        </is>
      </c>
      <c r="AJ5" s="36" t="inlineStr">
        <is>
          <t>Retard</t>
        </is>
      </c>
      <c r="AK5" s="36" t="inlineStr">
        <is>
          <t>Absent</t>
        </is>
      </c>
      <c r="AL5" s="36" t="inlineStr">
        <is>
          <t>Congé</t>
        </is>
      </c>
      <c r="AM5" s="36" t="inlineStr">
        <is>
          <t>Malade</t>
        </is>
      </c>
      <c r="AN5" s="36" t="inlineStr">
        <is>
          <t>Taux de présence</t>
        </is>
      </c>
      <c r="AO5" s="36" t="inlineStr">
        <is>
          <t>Salaire dû</t>
        </is>
      </c>
    </row>
    <row r="6" ht="22" customHeight="1">
      <c r="A6" s="35" t="n"/>
      <c r="B6" s="35" t="n"/>
      <c r="C6" s="35" t="n"/>
      <c r="D6" s="35">
        <f>IF(D5="","",CHOOSE(WEEKDAY(DATE('Paramètres'!$B$5,2,1),2),"Lun","Mar","Mer","Jeu","Ven","Sam","Dim"))</f>
        <v/>
      </c>
      <c r="E6" s="35">
        <f>IF(E5="","",CHOOSE(WEEKDAY(DATE('Paramètres'!$B$5,2,2),2),"Lun","Mar","Mer","Jeu","Ven","Sam","Dim"))</f>
        <v/>
      </c>
      <c r="F6" s="35">
        <f>IF(F5="","",CHOOSE(WEEKDAY(DATE('Paramètres'!$B$5,2,3),2),"Lun","Mar","Mer","Jeu","Ven","Sam","Dim"))</f>
        <v/>
      </c>
      <c r="G6" s="35">
        <f>IF(G5="","",CHOOSE(WEEKDAY(DATE('Paramètres'!$B$5,2,4),2),"Lun","Mar","Mer","Jeu","Ven","Sam","Dim"))</f>
        <v/>
      </c>
      <c r="H6" s="35">
        <f>IF(H5="","",CHOOSE(WEEKDAY(DATE('Paramètres'!$B$5,2,5),2),"Lun","Mar","Mer","Jeu","Ven","Sam","Dim"))</f>
        <v/>
      </c>
      <c r="I6" s="35">
        <f>IF(I5="","",CHOOSE(WEEKDAY(DATE('Paramètres'!$B$5,2,6),2),"Lun","Mar","Mer","Jeu","Ven","Sam","Dim"))</f>
        <v/>
      </c>
      <c r="J6" s="35">
        <f>IF(J5="","",CHOOSE(WEEKDAY(DATE('Paramètres'!$B$5,2,7),2),"Lun","Mar","Mer","Jeu","Ven","Sam","Dim"))</f>
        <v/>
      </c>
      <c r="K6" s="35">
        <f>IF(K5="","",CHOOSE(WEEKDAY(DATE('Paramètres'!$B$5,2,8),2),"Lun","Mar","Mer","Jeu","Ven","Sam","Dim"))</f>
        <v/>
      </c>
      <c r="L6" s="35">
        <f>IF(L5="","",CHOOSE(WEEKDAY(DATE('Paramètres'!$B$5,2,9),2),"Lun","Mar","Mer","Jeu","Ven","Sam","Dim"))</f>
        <v/>
      </c>
      <c r="M6" s="35">
        <f>IF(M5="","",CHOOSE(WEEKDAY(DATE('Paramètres'!$B$5,2,10),2),"Lun","Mar","Mer","Jeu","Ven","Sam","Dim"))</f>
        <v/>
      </c>
      <c r="N6" s="35">
        <f>IF(N5="","",CHOOSE(WEEKDAY(DATE('Paramètres'!$B$5,2,11),2),"Lun","Mar","Mer","Jeu","Ven","Sam","Dim"))</f>
        <v/>
      </c>
      <c r="O6" s="35">
        <f>IF(O5="","",CHOOSE(WEEKDAY(DATE('Paramètres'!$B$5,2,12),2),"Lun","Mar","Mer","Jeu","Ven","Sam","Dim"))</f>
        <v/>
      </c>
      <c r="P6" s="35">
        <f>IF(P5="","",CHOOSE(WEEKDAY(DATE('Paramètres'!$B$5,2,13),2),"Lun","Mar","Mer","Jeu","Ven","Sam","Dim"))</f>
        <v/>
      </c>
      <c r="Q6" s="35">
        <f>IF(Q5="","",CHOOSE(WEEKDAY(DATE('Paramètres'!$B$5,2,14),2),"Lun","Mar","Mer","Jeu","Ven","Sam","Dim"))</f>
        <v/>
      </c>
      <c r="R6" s="35">
        <f>IF(R5="","",CHOOSE(WEEKDAY(DATE('Paramètres'!$B$5,2,15),2),"Lun","Mar","Mer","Jeu","Ven","Sam","Dim"))</f>
        <v/>
      </c>
      <c r="S6" s="35">
        <f>IF(S5="","",CHOOSE(WEEKDAY(DATE('Paramètres'!$B$5,2,16),2),"Lun","Mar","Mer","Jeu","Ven","Sam","Dim"))</f>
        <v/>
      </c>
      <c r="T6" s="35">
        <f>IF(T5="","",CHOOSE(WEEKDAY(DATE('Paramètres'!$B$5,2,17),2),"Lun","Mar","Mer","Jeu","Ven","Sam","Dim"))</f>
        <v/>
      </c>
      <c r="U6" s="35">
        <f>IF(U5="","",CHOOSE(WEEKDAY(DATE('Paramètres'!$B$5,2,18),2),"Lun","Mar","Mer","Jeu","Ven","Sam","Dim"))</f>
        <v/>
      </c>
      <c r="V6" s="35">
        <f>IF(V5="","",CHOOSE(WEEKDAY(DATE('Paramètres'!$B$5,2,19),2),"Lun","Mar","Mer","Jeu","Ven","Sam","Dim"))</f>
        <v/>
      </c>
      <c r="W6" s="35">
        <f>IF(W5="","",CHOOSE(WEEKDAY(DATE('Paramètres'!$B$5,2,20),2),"Lun","Mar","Mer","Jeu","Ven","Sam","Dim"))</f>
        <v/>
      </c>
      <c r="X6" s="35">
        <f>IF(X5="","",CHOOSE(WEEKDAY(DATE('Paramètres'!$B$5,2,21),2),"Lun","Mar","Mer","Jeu","Ven","Sam","Dim"))</f>
        <v/>
      </c>
      <c r="Y6" s="35">
        <f>IF(Y5="","",CHOOSE(WEEKDAY(DATE('Paramètres'!$B$5,2,22),2),"Lun","Mar","Mer","Jeu","Ven","Sam","Dim"))</f>
        <v/>
      </c>
      <c r="Z6" s="35">
        <f>IF(Z5="","",CHOOSE(WEEKDAY(DATE('Paramètres'!$B$5,2,23),2),"Lun","Mar","Mer","Jeu","Ven","Sam","Dim"))</f>
        <v/>
      </c>
      <c r="AA6" s="35">
        <f>IF(AA5="","",CHOOSE(WEEKDAY(DATE('Paramètres'!$B$5,2,24),2),"Lun","Mar","Mer","Jeu","Ven","Sam","Dim"))</f>
        <v/>
      </c>
      <c r="AB6" s="35">
        <f>IF(AB5="","",CHOOSE(WEEKDAY(DATE('Paramètres'!$B$5,2,25),2),"Lun","Mar","Mer","Jeu","Ven","Sam","Dim"))</f>
        <v/>
      </c>
      <c r="AC6" s="35">
        <f>IF(AC5="","",CHOOSE(WEEKDAY(DATE('Paramètres'!$B$5,2,26),2),"Lun","Mar","Mer","Jeu","Ven","Sam","Dim"))</f>
        <v/>
      </c>
      <c r="AD6" s="35">
        <f>IF(AD5="","",CHOOSE(WEEKDAY(DATE('Paramètres'!$B$5,2,27),2),"Lun","Mar","Mer","Jeu","Ven","Sam","Dim"))</f>
        <v/>
      </c>
      <c r="AE6" s="35">
        <f>IF(AE5="","",CHOOSE(WEEKDAY(DATE('Paramètres'!$B$5,2,28),2),"Lun","Mar","Mer","Jeu","Ven","Sam","Dim"))</f>
        <v/>
      </c>
      <c r="AF6" s="35">
        <f>IF(AF5="","",CHOOSE(WEEKDAY(DATE('Paramètres'!$B$5,2,29),2),"Lun","Mar","Mer","Jeu","Ven","Sam","Dim"))</f>
        <v/>
      </c>
      <c r="AG6" s="35">
        <f>IF(AG5="","",CHOOSE(WEEKDAY(DATE('Paramètres'!$B$5,2,30),2),"Lun","Mar","Mer","Jeu","Ven","Sam","Dim"))</f>
        <v/>
      </c>
      <c r="AH6" s="35">
        <f>IF(AH5="","",CHOOSE(WEEKDAY(DATE('Paramètres'!$B$5,2,31),2),"Lun","Mar","Mer","Jeu","Ven","Sam","Dim"))</f>
        <v/>
      </c>
      <c r="AI6" s="36" t="n"/>
      <c r="AJ6" s="36" t="n"/>
      <c r="AK6" s="36" t="n"/>
      <c r="AL6" s="36" t="n"/>
      <c r="AM6" s="36" t="n"/>
      <c r="AN6" s="36" t="n"/>
      <c r="AO6" s="36" t="n"/>
    </row>
    <row r="7" ht="20" customHeight="1">
      <c r="A7" s="37">
        <f>IF('Employés'!B5="","",'Employés'!A5)</f>
        <v/>
      </c>
      <c r="B7" s="38">
        <f>IF('Employés'!B5="","",'Employés'!B5)</f>
        <v/>
      </c>
      <c r="C7" s="38">
        <f>IF('Employés'!C5="","",'Employés'!C5)</f>
        <v/>
      </c>
      <c r="D7" s="37" t="n"/>
      <c r="E7" s="37" t="n"/>
      <c r="F7" s="37" t="n"/>
      <c r="G7" s="37" t="n"/>
      <c r="H7" s="37" t="n"/>
      <c r="I7" s="37" t="n"/>
      <c r="J7" s="37" t="n"/>
      <c r="K7" s="37" t="n"/>
      <c r="L7" s="37" t="n"/>
      <c r="M7" s="37" t="n"/>
      <c r="N7" s="37" t="n"/>
      <c r="O7" s="37" t="n"/>
      <c r="P7" s="37" t="n"/>
      <c r="Q7" s="37" t="n"/>
      <c r="R7" s="37" t="n"/>
      <c r="S7" s="37" t="n"/>
      <c r="T7" s="37" t="n"/>
      <c r="U7" s="37" t="n"/>
      <c r="V7" s="37" t="n"/>
      <c r="W7" s="37" t="n"/>
      <c r="X7" s="37" t="n"/>
      <c r="Y7" s="37" t="n"/>
      <c r="Z7" s="37" t="n"/>
      <c r="AA7" s="37" t="n"/>
      <c r="AB7" s="37" t="n"/>
      <c r="AC7" s="37" t="n"/>
      <c r="AD7" s="37" t="n"/>
      <c r="AE7" s="37" t="n"/>
      <c r="AF7" s="37" t="n"/>
      <c r="AG7" s="37" t="n"/>
      <c r="AH7" s="37" t="n"/>
      <c r="AI7" s="39">
        <f>IF($B7="","",COUNTIF(D7:AH7,"P"))</f>
        <v/>
      </c>
      <c r="AJ7" s="39">
        <f>IF($B7="","",COUNTIF(D7:AH7,"R"))</f>
        <v/>
      </c>
      <c r="AK7" s="39">
        <f>IF($B7="","",COUNTIF(D7:AH7,"A"))</f>
        <v/>
      </c>
      <c r="AL7" s="39">
        <f>IF($B7="","",COUNTIF(D7:AH7,"C"))</f>
        <v/>
      </c>
      <c r="AM7" s="39">
        <f>IF($B7="","",COUNTIF(D7:AH7,"M"))</f>
        <v/>
      </c>
      <c r="AN7" s="40">
        <f>IF($B7="","",IF(AI7+AJ7+AK7+AM7=0,"",(AI7+AJ7)/(AI7+AJ7+AK7+AM7)))</f>
        <v/>
      </c>
      <c r="AO7" s="41">
        <f>IF($B7="","",IF('Employés'!D5="","",(AI7+AJ7+AL7)*'Employés'!D5))</f>
        <v/>
      </c>
    </row>
    <row r="8" ht="20" customHeight="1">
      <c r="A8" s="37">
        <f>IF('Employés'!B6="","",'Employés'!A6)</f>
        <v/>
      </c>
      <c r="B8" s="38">
        <f>IF('Employés'!B6="","",'Employés'!B6)</f>
        <v/>
      </c>
      <c r="C8" s="38">
        <f>IF('Employés'!C6="","",'Employés'!C6)</f>
        <v/>
      </c>
      <c r="D8" s="37" t="n"/>
      <c r="E8" s="37" t="n"/>
      <c r="F8" s="37" t="n"/>
      <c r="G8" s="37" t="n"/>
      <c r="H8" s="37" t="n"/>
      <c r="I8" s="37" t="n"/>
      <c r="J8" s="37" t="n"/>
      <c r="K8" s="37" t="n"/>
      <c r="L8" s="37" t="n"/>
      <c r="M8" s="37" t="n"/>
      <c r="N8" s="37" t="n"/>
      <c r="O8" s="37" t="n"/>
      <c r="P8" s="37" t="n"/>
      <c r="Q8" s="37" t="n"/>
      <c r="R8" s="37" t="n"/>
      <c r="S8" s="37" t="n"/>
      <c r="T8" s="37" t="n"/>
      <c r="U8" s="37" t="n"/>
      <c r="V8" s="37" t="n"/>
      <c r="W8" s="37" t="n"/>
      <c r="X8" s="37" t="n"/>
      <c r="Y8" s="37" t="n"/>
      <c r="Z8" s="37" t="n"/>
      <c r="AA8" s="37" t="n"/>
      <c r="AB8" s="37" t="n"/>
      <c r="AC8" s="37" t="n"/>
      <c r="AD8" s="37" t="n"/>
      <c r="AE8" s="37" t="n"/>
      <c r="AF8" s="37" t="n"/>
      <c r="AG8" s="37" t="n"/>
      <c r="AH8" s="37" t="n"/>
      <c r="AI8" s="39">
        <f>IF($B8="","",COUNTIF(D8:AH8,"P"))</f>
        <v/>
      </c>
      <c r="AJ8" s="39">
        <f>IF($B8="","",COUNTIF(D8:AH8,"R"))</f>
        <v/>
      </c>
      <c r="AK8" s="39">
        <f>IF($B8="","",COUNTIF(D8:AH8,"A"))</f>
        <v/>
      </c>
      <c r="AL8" s="39">
        <f>IF($B8="","",COUNTIF(D8:AH8,"C"))</f>
        <v/>
      </c>
      <c r="AM8" s="39">
        <f>IF($B8="","",COUNTIF(D8:AH8,"M"))</f>
        <v/>
      </c>
      <c r="AN8" s="40">
        <f>IF($B8="","",IF(AI8+AJ8+AK8+AM8=0,"",(AI8+AJ8)/(AI8+AJ8+AK8+AM8)))</f>
        <v/>
      </c>
      <c r="AO8" s="41">
        <f>IF($B8="","",IF('Employés'!D6="","",(AI8+AJ8+AL8)*'Employés'!D6))</f>
        <v/>
      </c>
    </row>
    <row r="9" ht="20" customHeight="1">
      <c r="A9" s="37">
        <f>IF('Employés'!B7="","",'Employés'!A7)</f>
        <v/>
      </c>
      <c r="B9" s="38">
        <f>IF('Employés'!B7="","",'Employés'!B7)</f>
        <v/>
      </c>
      <c r="C9" s="38">
        <f>IF('Employés'!C7="","",'Employés'!C7)</f>
        <v/>
      </c>
      <c r="D9" s="37" t="n"/>
      <c r="E9" s="37" t="n"/>
      <c r="F9" s="37" t="n"/>
      <c r="G9" s="37" t="n"/>
      <c r="H9" s="37" t="n"/>
      <c r="I9" s="37" t="n"/>
      <c r="J9" s="37" t="n"/>
      <c r="K9" s="37" t="n"/>
      <c r="L9" s="37" t="n"/>
      <c r="M9" s="37" t="n"/>
      <c r="N9" s="37" t="n"/>
      <c r="O9" s="37" t="n"/>
      <c r="P9" s="37" t="n"/>
      <c r="Q9" s="37" t="n"/>
      <c r="R9" s="37" t="n"/>
      <c r="S9" s="37" t="n"/>
      <c r="T9" s="37" t="n"/>
      <c r="U9" s="37" t="n"/>
      <c r="V9" s="37" t="n"/>
      <c r="W9" s="37" t="n"/>
      <c r="X9" s="37" t="n"/>
      <c r="Y9" s="37" t="n"/>
      <c r="Z9" s="37" t="n"/>
      <c r="AA9" s="37" t="n"/>
      <c r="AB9" s="37" t="n"/>
      <c r="AC9" s="37" t="n"/>
      <c r="AD9" s="37" t="n"/>
      <c r="AE9" s="37" t="n"/>
      <c r="AF9" s="37" t="n"/>
      <c r="AG9" s="37" t="n"/>
      <c r="AH9" s="37" t="n"/>
      <c r="AI9" s="39">
        <f>IF($B9="","",COUNTIF(D9:AH9,"P"))</f>
        <v/>
      </c>
      <c r="AJ9" s="39">
        <f>IF($B9="","",COUNTIF(D9:AH9,"R"))</f>
        <v/>
      </c>
      <c r="AK9" s="39">
        <f>IF($B9="","",COUNTIF(D9:AH9,"A"))</f>
        <v/>
      </c>
      <c r="AL9" s="39">
        <f>IF($B9="","",COUNTIF(D9:AH9,"C"))</f>
        <v/>
      </c>
      <c r="AM9" s="39">
        <f>IF($B9="","",COUNTIF(D9:AH9,"M"))</f>
        <v/>
      </c>
      <c r="AN9" s="40">
        <f>IF($B9="","",IF(AI9+AJ9+AK9+AM9=0,"",(AI9+AJ9)/(AI9+AJ9+AK9+AM9)))</f>
        <v/>
      </c>
      <c r="AO9" s="41">
        <f>IF($B9="","",IF('Employés'!D7="","",(AI9+AJ9+AL9)*'Employés'!D7))</f>
        <v/>
      </c>
    </row>
    <row r="10" ht="20" customHeight="1">
      <c r="A10" s="37">
        <f>IF('Employés'!B8="","",'Employés'!A8)</f>
        <v/>
      </c>
      <c r="B10" s="38">
        <f>IF('Employés'!B8="","",'Employés'!B8)</f>
        <v/>
      </c>
      <c r="C10" s="38">
        <f>IF('Employés'!C8="","",'Employés'!C8)</f>
        <v/>
      </c>
      <c r="D10" s="37" t="n"/>
      <c r="E10" s="37" t="n"/>
      <c r="F10" s="37" t="n"/>
      <c r="G10" s="37" t="n"/>
      <c r="H10" s="37" t="n"/>
      <c r="I10" s="37" t="n"/>
      <c r="J10" s="37" t="n"/>
      <c r="K10" s="37" t="n"/>
      <c r="L10" s="37" t="n"/>
      <c r="M10" s="37" t="n"/>
      <c r="N10" s="37" t="n"/>
      <c r="O10" s="37" t="n"/>
      <c r="P10" s="37" t="n"/>
      <c r="Q10" s="37" t="n"/>
      <c r="R10" s="37" t="n"/>
      <c r="S10" s="37" t="n"/>
      <c r="T10" s="37" t="n"/>
      <c r="U10" s="37" t="n"/>
      <c r="V10" s="37" t="n"/>
      <c r="W10" s="37" t="n"/>
      <c r="X10" s="37" t="n"/>
      <c r="Y10" s="37" t="n"/>
      <c r="Z10" s="37" t="n"/>
      <c r="AA10" s="37" t="n"/>
      <c r="AB10" s="37" t="n"/>
      <c r="AC10" s="37" t="n"/>
      <c r="AD10" s="37" t="n"/>
      <c r="AE10" s="37" t="n"/>
      <c r="AF10" s="37" t="n"/>
      <c r="AG10" s="37" t="n"/>
      <c r="AH10" s="37" t="n"/>
      <c r="AI10" s="39">
        <f>IF($B10="","",COUNTIF(D10:AH10,"P"))</f>
        <v/>
      </c>
      <c r="AJ10" s="39">
        <f>IF($B10="","",COUNTIF(D10:AH10,"R"))</f>
        <v/>
      </c>
      <c r="AK10" s="39">
        <f>IF($B10="","",COUNTIF(D10:AH10,"A"))</f>
        <v/>
      </c>
      <c r="AL10" s="39">
        <f>IF($B10="","",COUNTIF(D10:AH10,"C"))</f>
        <v/>
      </c>
      <c r="AM10" s="39">
        <f>IF($B10="","",COUNTIF(D10:AH10,"M"))</f>
        <v/>
      </c>
      <c r="AN10" s="40">
        <f>IF($B10="","",IF(AI10+AJ10+AK10+AM10=0,"",(AI10+AJ10)/(AI10+AJ10+AK10+AM10)))</f>
        <v/>
      </c>
      <c r="AO10" s="41">
        <f>IF($B10="","",IF('Employés'!D8="","",(AI10+AJ10+AL10)*'Employés'!D8))</f>
        <v/>
      </c>
    </row>
    <row r="11" ht="20" customHeight="1">
      <c r="A11" s="37">
        <f>IF('Employés'!B9="","",'Employés'!A9)</f>
        <v/>
      </c>
      <c r="B11" s="38">
        <f>IF('Employés'!B9="","",'Employés'!B9)</f>
        <v/>
      </c>
      <c r="C11" s="38">
        <f>IF('Employés'!C9="","",'Employés'!C9)</f>
        <v/>
      </c>
      <c r="D11" s="37" t="n"/>
      <c r="E11" s="37" t="n"/>
      <c r="F11" s="37" t="n"/>
      <c r="G11" s="37" t="n"/>
      <c r="H11" s="37" t="n"/>
      <c r="I11" s="37" t="n"/>
      <c r="J11" s="37" t="n"/>
      <c r="K11" s="37" t="n"/>
      <c r="L11" s="37" t="n"/>
      <c r="M11" s="37" t="n"/>
      <c r="N11" s="37" t="n"/>
      <c r="O11" s="37" t="n"/>
      <c r="P11" s="37" t="n"/>
      <c r="Q11" s="37" t="n"/>
      <c r="R11" s="37" t="n"/>
      <c r="S11" s="37" t="n"/>
      <c r="T11" s="37" t="n"/>
      <c r="U11" s="37" t="n"/>
      <c r="V11" s="37" t="n"/>
      <c r="W11" s="37" t="n"/>
      <c r="X11" s="37" t="n"/>
      <c r="Y11" s="37" t="n"/>
      <c r="Z11" s="37" t="n"/>
      <c r="AA11" s="37" t="n"/>
      <c r="AB11" s="37" t="n"/>
      <c r="AC11" s="37" t="n"/>
      <c r="AD11" s="37" t="n"/>
      <c r="AE11" s="37" t="n"/>
      <c r="AF11" s="37" t="n"/>
      <c r="AG11" s="37" t="n"/>
      <c r="AH11" s="37" t="n"/>
      <c r="AI11" s="39">
        <f>IF($B11="","",COUNTIF(D11:AH11,"P"))</f>
        <v/>
      </c>
      <c r="AJ11" s="39">
        <f>IF($B11="","",COUNTIF(D11:AH11,"R"))</f>
        <v/>
      </c>
      <c r="AK11" s="39">
        <f>IF($B11="","",COUNTIF(D11:AH11,"A"))</f>
        <v/>
      </c>
      <c r="AL11" s="39">
        <f>IF($B11="","",COUNTIF(D11:AH11,"C"))</f>
        <v/>
      </c>
      <c r="AM11" s="39">
        <f>IF($B11="","",COUNTIF(D11:AH11,"M"))</f>
        <v/>
      </c>
      <c r="AN11" s="40">
        <f>IF($B11="","",IF(AI11+AJ11+AK11+AM11=0,"",(AI11+AJ11)/(AI11+AJ11+AK11+AM11)))</f>
        <v/>
      </c>
      <c r="AO11" s="41">
        <f>IF($B11="","",IF('Employés'!D9="","",(AI11+AJ11+AL11)*'Employés'!D9))</f>
        <v/>
      </c>
    </row>
    <row r="12" ht="20" customHeight="1">
      <c r="A12" s="37">
        <f>IF('Employés'!B10="","",'Employés'!A10)</f>
        <v/>
      </c>
      <c r="B12" s="38">
        <f>IF('Employés'!B10="","",'Employés'!B10)</f>
        <v/>
      </c>
      <c r="C12" s="38">
        <f>IF('Employés'!C10="","",'Employés'!C10)</f>
        <v/>
      </c>
      <c r="D12" s="37" t="n"/>
      <c r="E12" s="37" t="n"/>
      <c r="F12" s="37" t="n"/>
      <c r="G12" s="37" t="n"/>
      <c r="H12" s="37" t="n"/>
      <c r="I12" s="37" t="n"/>
      <c r="J12" s="37" t="n"/>
      <c r="K12" s="37" t="n"/>
      <c r="L12" s="37" t="n"/>
      <c r="M12" s="37" t="n"/>
      <c r="N12" s="37" t="n"/>
      <c r="O12" s="37" t="n"/>
      <c r="P12" s="37" t="n"/>
      <c r="Q12" s="37" t="n"/>
      <c r="R12" s="37" t="n"/>
      <c r="S12" s="37" t="n"/>
      <c r="T12" s="37" t="n"/>
      <c r="U12" s="37" t="n"/>
      <c r="V12" s="37" t="n"/>
      <c r="W12" s="37" t="n"/>
      <c r="X12" s="37" t="n"/>
      <c r="Y12" s="37" t="n"/>
      <c r="Z12" s="37" t="n"/>
      <c r="AA12" s="37" t="n"/>
      <c r="AB12" s="37" t="n"/>
      <c r="AC12" s="37" t="n"/>
      <c r="AD12" s="37" t="n"/>
      <c r="AE12" s="37" t="n"/>
      <c r="AF12" s="37" t="n"/>
      <c r="AG12" s="37" t="n"/>
      <c r="AH12" s="37" t="n"/>
      <c r="AI12" s="39">
        <f>IF($B12="","",COUNTIF(D12:AH12,"P"))</f>
        <v/>
      </c>
      <c r="AJ12" s="39">
        <f>IF($B12="","",COUNTIF(D12:AH12,"R"))</f>
        <v/>
      </c>
      <c r="AK12" s="39">
        <f>IF($B12="","",COUNTIF(D12:AH12,"A"))</f>
        <v/>
      </c>
      <c r="AL12" s="39">
        <f>IF($B12="","",COUNTIF(D12:AH12,"C"))</f>
        <v/>
      </c>
      <c r="AM12" s="39">
        <f>IF($B12="","",COUNTIF(D12:AH12,"M"))</f>
        <v/>
      </c>
      <c r="AN12" s="40">
        <f>IF($B12="","",IF(AI12+AJ12+AK12+AM12=0,"",(AI12+AJ12)/(AI12+AJ12+AK12+AM12)))</f>
        <v/>
      </c>
      <c r="AO12" s="41">
        <f>IF($B12="","",IF('Employés'!D10="","",(AI12+AJ12+AL12)*'Employés'!D10))</f>
        <v/>
      </c>
    </row>
    <row r="13" ht="20" customHeight="1">
      <c r="A13" s="37">
        <f>IF('Employés'!B11="","",'Employés'!A11)</f>
        <v/>
      </c>
      <c r="B13" s="38">
        <f>IF('Employés'!B11="","",'Employés'!B11)</f>
        <v/>
      </c>
      <c r="C13" s="38">
        <f>IF('Employés'!C11="","",'Employés'!C11)</f>
        <v/>
      </c>
      <c r="D13" s="37" t="n"/>
      <c r="E13" s="37" t="n"/>
      <c r="F13" s="37" t="n"/>
      <c r="G13" s="37" t="n"/>
      <c r="H13" s="37" t="n"/>
      <c r="I13" s="37" t="n"/>
      <c r="J13" s="37" t="n"/>
      <c r="K13" s="37" t="n"/>
      <c r="L13" s="37" t="n"/>
      <c r="M13" s="37" t="n"/>
      <c r="N13" s="37" t="n"/>
      <c r="O13" s="37" t="n"/>
      <c r="P13" s="37" t="n"/>
      <c r="Q13" s="37" t="n"/>
      <c r="R13" s="37" t="n"/>
      <c r="S13" s="37" t="n"/>
      <c r="T13" s="37" t="n"/>
      <c r="U13" s="37" t="n"/>
      <c r="V13" s="37" t="n"/>
      <c r="W13" s="37" t="n"/>
      <c r="X13" s="37" t="n"/>
      <c r="Y13" s="37" t="n"/>
      <c r="Z13" s="37" t="n"/>
      <c r="AA13" s="37" t="n"/>
      <c r="AB13" s="37" t="n"/>
      <c r="AC13" s="37" t="n"/>
      <c r="AD13" s="37" t="n"/>
      <c r="AE13" s="37" t="n"/>
      <c r="AF13" s="37" t="n"/>
      <c r="AG13" s="37" t="n"/>
      <c r="AH13" s="37" t="n"/>
      <c r="AI13" s="39">
        <f>IF($B13="","",COUNTIF(D13:AH13,"P"))</f>
        <v/>
      </c>
      <c r="AJ13" s="39">
        <f>IF($B13="","",COUNTIF(D13:AH13,"R"))</f>
        <v/>
      </c>
      <c r="AK13" s="39">
        <f>IF($B13="","",COUNTIF(D13:AH13,"A"))</f>
        <v/>
      </c>
      <c r="AL13" s="39">
        <f>IF($B13="","",COUNTIF(D13:AH13,"C"))</f>
        <v/>
      </c>
      <c r="AM13" s="39">
        <f>IF($B13="","",COUNTIF(D13:AH13,"M"))</f>
        <v/>
      </c>
      <c r="AN13" s="40">
        <f>IF($B13="","",IF(AI13+AJ13+AK13+AM13=0,"",(AI13+AJ13)/(AI13+AJ13+AK13+AM13)))</f>
        <v/>
      </c>
      <c r="AO13" s="41">
        <f>IF($B13="","",IF('Employés'!D11="","",(AI13+AJ13+AL13)*'Employés'!D11))</f>
        <v/>
      </c>
    </row>
    <row r="14" ht="20" customHeight="1">
      <c r="A14" s="37">
        <f>IF('Employés'!B12="","",'Employés'!A12)</f>
        <v/>
      </c>
      <c r="B14" s="38">
        <f>IF('Employés'!B12="","",'Employés'!B12)</f>
        <v/>
      </c>
      <c r="C14" s="38">
        <f>IF('Employés'!C12="","",'Employés'!C12)</f>
        <v/>
      </c>
      <c r="D14" s="37" t="n"/>
      <c r="E14" s="37" t="n"/>
      <c r="F14" s="37" t="n"/>
      <c r="G14" s="37" t="n"/>
      <c r="H14" s="37" t="n"/>
      <c r="I14" s="37" t="n"/>
      <c r="J14" s="37" t="n"/>
      <c r="K14" s="37" t="n"/>
      <c r="L14" s="37" t="n"/>
      <c r="M14" s="37" t="n"/>
      <c r="N14" s="37" t="n"/>
      <c r="O14" s="37" t="n"/>
      <c r="P14" s="37" t="n"/>
      <c r="Q14" s="37" t="n"/>
      <c r="R14" s="37" t="n"/>
      <c r="S14" s="37" t="n"/>
      <c r="T14" s="37" t="n"/>
      <c r="U14" s="37" t="n"/>
      <c r="V14" s="37" t="n"/>
      <c r="W14" s="37" t="n"/>
      <c r="X14" s="37" t="n"/>
      <c r="Y14" s="37" t="n"/>
      <c r="Z14" s="37" t="n"/>
      <c r="AA14" s="37" t="n"/>
      <c r="AB14" s="37" t="n"/>
      <c r="AC14" s="37" t="n"/>
      <c r="AD14" s="37" t="n"/>
      <c r="AE14" s="37" t="n"/>
      <c r="AF14" s="37" t="n"/>
      <c r="AG14" s="37" t="n"/>
      <c r="AH14" s="37" t="n"/>
      <c r="AI14" s="39">
        <f>IF($B14="","",COUNTIF(D14:AH14,"P"))</f>
        <v/>
      </c>
      <c r="AJ14" s="39">
        <f>IF($B14="","",COUNTIF(D14:AH14,"R"))</f>
        <v/>
      </c>
      <c r="AK14" s="39">
        <f>IF($B14="","",COUNTIF(D14:AH14,"A"))</f>
        <v/>
      </c>
      <c r="AL14" s="39">
        <f>IF($B14="","",COUNTIF(D14:AH14,"C"))</f>
        <v/>
      </c>
      <c r="AM14" s="39">
        <f>IF($B14="","",COUNTIF(D14:AH14,"M"))</f>
        <v/>
      </c>
      <c r="AN14" s="40">
        <f>IF($B14="","",IF(AI14+AJ14+AK14+AM14=0,"",(AI14+AJ14)/(AI14+AJ14+AK14+AM14)))</f>
        <v/>
      </c>
      <c r="AO14" s="41">
        <f>IF($B14="","",IF('Employés'!D12="","",(AI14+AJ14+AL14)*'Employés'!D12))</f>
        <v/>
      </c>
    </row>
    <row r="15" ht="20" customHeight="1">
      <c r="A15" s="37">
        <f>IF('Employés'!B13="","",'Employés'!A13)</f>
        <v/>
      </c>
      <c r="B15" s="38">
        <f>IF('Employés'!B13="","",'Employés'!B13)</f>
        <v/>
      </c>
      <c r="C15" s="38">
        <f>IF('Employés'!C13="","",'Employés'!C13)</f>
        <v/>
      </c>
      <c r="D15" s="37" t="n"/>
      <c r="E15" s="37" t="n"/>
      <c r="F15" s="37" t="n"/>
      <c r="G15" s="37" t="n"/>
      <c r="H15" s="37" t="n"/>
      <c r="I15" s="37" t="n"/>
      <c r="J15" s="37" t="n"/>
      <c r="K15" s="37" t="n"/>
      <c r="L15" s="37" t="n"/>
      <c r="M15" s="37" t="n"/>
      <c r="N15" s="37" t="n"/>
      <c r="O15" s="37" t="n"/>
      <c r="P15" s="37" t="n"/>
      <c r="Q15" s="37" t="n"/>
      <c r="R15" s="37" t="n"/>
      <c r="S15" s="37" t="n"/>
      <c r="T15" s="37" t="n"/>
      <c r="U15" s="37" t="n"/>
      <c r="V15" s="37" t="n"/>
      <c r="W15" s="37" t="n"/>
      <c r="X15" s="37" t="n"/>
      <c r="Y15" s="37" t="n"/>
      <c r="Z15" s="37" t="n"/>
      <c r="AA15" s="37" t="n"/>
      <c r="AB15" s="37" t="n"/>
      <c r="AC15" s="37" t="n"/>
      <c r="AD15" s="37" t="n"/>
      <c r="AE15" s="37" t="n"/>
      <c r="AF15" s="37" t="n"/>
      <c r="AG15" s="37" t="n"/>
      <c r="AH15" s="37" t="n"/>
      <c r="AI15" s="39">
        <f>IF($B15="","",COUNTIF(D15:AH15,"P"))</f>
        <v/>
      </c>
      <c r="AJ15" s="39">
        <f>IF($B15="","",COUNTIF(D15:AH15,"R"))</f>
        <v/>
      </c>
      <c r="AK15" s="39">
        <f>IF($B15="","",COUNTIF(D15:AH15,"A"))</f>
        <v/>
      </c>
      <c r="AL15" s="39">
        <f>IF($B15="","",COUNTIF(D15:AH15,"C"))</f>
        <v/>
      </c>
      <c r="AM15" s="39">
        <f>IF($B15="","",COUNTIF(D15:AH15,"M"))</f>
        <v/>
      </c>
      <c r="AN15" s="40">
        <f>IF($B15="","",IF(AI15+AJ15+AK15+AM15=0,"",(AI15+AJ15)/(AI15+AJ15+AK15+AM15)))</f>
        <v/>
      </c>
      <c r="AO15" s="41">
        <f>IF($B15="","",IF('Employés'!D13="","",(AI15+AJ15+AL15)*'Employés'!D13))</f>
        <v/>
      </c>
    </row>
    <row r="16" ht="20" customHeight="1">
      <c r="A16" s="37">
        <f>IF('Employés'!B14="","",'Employés'!A14)</f>
        <v/>
      </c>
      <c r="B16" s="38">
        <f>IF('Employés'!B14="","",'Employés'!B14)</f>
        <v/>
      </c>
      <c r="C16" s="38">
        <f>IF('Employés'!C14="","",'Employés'!C14)</f>
        <v/>
      </c>
      <c r="D16" s="37" t="n"/>
      <c r="E16" s="37" t="n"/>
      <c r="F16" s="37" t="n"/>
      <c r="G16" s="37" t="n"/>
      <c r="H16" s="37" t="n"/>
      <c r="I16" s="37" t="n"/>
      <c r="J16" s="37" t="n"/>
      <c r="K16" s="37" t="n"/>
      <c r="L16" s="37" t="n"/>
      <c r="M16" s="37" t="n"/>
      <c r="N16" s="37" t="n"/>
      <c r="O16" s="37" t="n"/>
      <c r="P16" s="37" t="n"/>
      <c r="Q16" s="37" t="n"/>
      <c r="R16" s="37" t="n"/>
      <c r="S16" s="37" t="n"/>
      <c r="T16" s="37" t="n"/>
      <c r="U16" s="37" t="n"/>
      <c r="V16" s="37" t="n"/>
      <c r="W16" s="37" t="n"/>
      <c r="X16" s="37" t="n"/>
      <c r="Y16" s="37" t="n"/>
      <c r="Z16" s="37" t="n"/>
      <c r="AA16" s="37" t="n"/>
      <c r="AB16" s="37" t="n"/>
      <c r="AC16" s="37" t="n"/>
      <c r="AD16" s="37" t="n"/>
      <c r="AE16" s="37" t="n"/>
      <c r="AF16" s="37" t="n"/>
      <c r="AG16" s="37" t="n"/>
      <c r="AH16" s="37" t="n"/>
      <c r="AI16" s="39">
        <f>IF($B16="","",COUNTIF(D16:AH16,"P"))</f>
        <v/>
      </c>
      <c r="AJ16" s="39">
        <f>IF($B16="","",COUNTIF(D16:AH16,"R"))</f>
        <v/>
      </c>
      <c r="AK16" s="39">
        <f>IF($B16="","",COUNTIF(D16:AH16,"A"))</f>
        <v/>
      </c>
      <c r="AL16" s="39">
        <f>IF($B16="","",COUNTIF(D16:AH16,"C"))</f>
        <v/>
      </c>
      <c r="AM16" s="39">
        <f>IF($B16="","",COUNTIF(D16:AH16,"M"))</f>
        <v/>
      </c>
      <c r="AN16" s="40">
        <f>IF($B16="","",IF(AI16+AJ16+AK16+AM16=0,"",(AI16+AJ16)/(AI16+AJ16+AK16+AM16)))</f>
        <v/>
      </c>
      <c r="AO16" s="41">
        <f>IF($B16="","",IF('Employés'!D14="","",(AI16+AJ16+AL16)*'Employés'!D14))</f>
        <v/>
      </c>
    </row>
    <row r="17" ht="20" customHeight="1">
      <c r="A17" s="37">
        <f>IF('Employés'!B15="","",'Employés'!A15)</f>
        <v/>
      </c>
      <c r="B17" s="38">
        <f>IF('Employés'!B15="","",'Employés'!B15)</f>
        <v/>
      </c>
      <c r="C17" s="38">
        <f>IF('Employés'!C15="","",'Employés'!C15)</f>
        <v/>
      </c>
      <c r="D17" s="37" t="n"/>
      <c r="E17" s="37" t="n"/>
      <c r="F17" s="37" t="n"/>
      <c r="G17" s="37" t="n"/>
      <c r="H17" s="37" t="n"/>
      <c r="I17" s="37" t="n"/>
      <c r="J17" s="37" t="n"/>
      <c r="K17" s="37" t="n"/>
      <c r="L17" s="37" t="n"/>
      <c r="M17" s="37" t="n"/>
      <c r="N17" s="37" t="n"/>
      <c r="O17" s="37" t="n"/>
      <c r="P17" s="37" t="n"/>
      <c r="Q17" s="37" t="n"/>
      <c r="R17" s="37" t="n"/>
      <c r="S17" s="37" t="n"/>
      <c r="T17" s="37" t="n"/>
      <c r="U17" s="37" t="n"/>
      <c r="V17" s="37" t="n"/>
      <c r="W17" s="37" t="n"/>
      <c r="X17" s="37" t="n"/>
      <c r="Y17" s="37" t="n"/>
      <c r="Z17" s="37" t="n"/>
      <c r="AA17" s="37" t="n"/>
      <c r="AB17" s="37" t="n"/>
      <c r="AC17" s="37" t="n"/>
      <c r="AD17" s="37" t="n"/>
      <c r="AE17" s="37" t="n"/>
      <c r="AF17" s="37" t="n"/>
      <c r="AG17" s="37" t="n"/>
      <c r="AH17" s="37" t="n"/>
      <c r="AI17" s="39">
        <f>IF($B17="","",COUNTIF(D17:AH17,"P"))</f>
        <v/>
      </c>
      <c r="AJ17" s="39">
        <f>IF($B17="","",COUNTIF(D17:AH17,"R"))</f>
        <v/>
      </c>
      <c r="AK17" s="39">
        <f>IF($B17="","",COUNTIF(D17:AH17,"A"))</f>
        <v/>
      </c>
      <c r="AL17" s="39">
        <f>IF($B17="","",COUNTIF(D17:AH17,"C"))</f>
        <v/>
      </c>
      <c r="AM17" s="39">
        <f>IF($B17="","",COUNTIF(D17:AH17,"M"))</f>
        <v/>
      </c>
      <c r="AN17" s="40">
        <f>IF($B17="","",IF(AI17+AJ17+AK17+AM17=0,"",(AI17+AJ17)/(AI17+AJ17+AK17+AM17)))</f>
        <v/>
      </c>
      <c r="AO17" s="41">
        <f>IF($B17="","",IF('Employés'!D15="","",(AI17+AJ17+AL17)*'Employés'!D15))</f>
        <v/>
      </c>
    </row>
    <row r="18" ht="20" customHeight="1">
      <c r="A18" s="37">
        <f>IF('Employés'!B16="","",'Employés'!A16)</f>
        <v/>
      </c>
      <c r="B18" s="38">
        <f>IF('Employés'!B16="","",'Employés'!B16)</f>
        <v/>
      </c>
      <c r="C18" s="38">
        <f>IF('Employés'!C16="","",'Employés'!C16)</f>
        <v/>
      </c>
      <c r="D18" s="37" t="n"/>
      <c r="E18" s="37" t="n"/>
      <c r="F18" s="37" t="n"/>
      <c r="G18" s="37" t="n"/>
      <c r="H18" s="37" t="n"/>
      <c r="I18" s="37" t="n"/>
      <c r="J18" s="37" t="n"/>
      <c r="K18" s="37" t="n"/>
      <c r="L18" s="37" t="n"/>
      <c r="M18" s="37" t="n"/>
      <c r="N18" s="37" t="n"/>
      <c r="O18" s="37" t="n"/>
      <c r="P18" s="37" t="n"/>
      <c r="Q18" s="37" t="n"/>
      <c r="R18" s="37" t="n"/>
      <c r="S18" s="37" t="n"/>
      <c r="T18" s="37" t="n"/>
      <c r="U18" s="37" t="n"/>
      <c r="V18" s="37" t="n"/>
      <c r="W18" s="37" t="n"/>
      <c r="X18" s="37" t="n"/>
      <c r="Y18" s="37" t="n"/>
      <c r="Z18" s="37" t="n"/>
      <c r="AA18" s="37" t="n"/>
      <c r="AB18" s="37" t="n"/>
      <c r="AC18" s="37" t="n"/>
      <c r="AD18" s="37" t="n"/>
      <c r="AE18" s="37" t="n"/>
      <c r="AF18" s="37" t="n"/>
      <c r="AG18" s="37" t="n"/>
      <c r="AH18" s="37" t="n"/>
      <c r="AI18" s="39">
        <f>IF($B18="","",COUNTIF(D18:AH18,"P"))</f>
        <v/>
      </c>
      <c r="AJ18" s="39">
        <f>IF($B18="","",COUNTIF(D18:AH18,"R"))</f>
        <v/>
      </c>
      <c r="AK18" s="39">
        <f>IF($B18="","",COUNTIF(D18:AH18,"A"))</f>
        <v/>
      </c>
      <c r="AL18" s="39">
        <f>IF($B18="","",COUNTIF(D18:AH18,"C"))</f>
        <v/>
      </c>
      <c r="AM18" s="39">
        <f>IF($B18="","",COUNTIF(D18:AH18,"M"))</f>
        <v/>
      </c>
      <c r="AN18" s="40">
        <f>IF($B18="","",IF(AI18+AJ18+AK18+AM18=0,"",(AI18+AJ18)/(AI18+AJ18+AK18+AM18)))</f>
        <v/>
      </c>
      <c r="AO18" s="41">
        <f>IF($B18="","",IF('Employés'!D16="","",(AI18+AJ18+AL18)*'Employés'!D16))</f>
        <v/>
      </c>
    </row>
    <row r="19" ht="20" customHeight="1">
      <c r="A19" s="37">
        <f>IF('Employés'!B17="","",'Employés'!A17)</f>
        <v/>
      </c>
      <c r="B19" s="38">
        <f>IF('Employés'!B17="","",'Employés'!B17)</f>
        <v/>
      </c>
      <c r="C19" s="38">
        <f>IF('Employés'!C17="","",'Employés'!C17)</f>
        <v/>
      </c>
      <c r="D19" s="37" t="n"/>
      <c r="E19" s="37" t="n"/>
      <c r="F19" s="37" t="n"/>
      <c r="G19" s="37" t="n"/>
      <c r="H19" s="37" t="n"/>
      <c r="I19" s="37" t="n"/>
      <c r="J19" s="37" t="n"/>
      <c r="K19" s="37" t="n"/>
      <c r="L19" s="37" t="n"/>
      <c r="M19" s="37" t="n"/>
      <c r="N19" s="37" t="n"/>
      <c r="O19" s="37" t="n"/>
      <c r="P19" s="37" t="n"/>
      <c r="Q19" s="37" t="n"/>
      <c r="R19" s="37" t="n"/>
      <c r="S19" s="37" t="n"/>
      <c r="T19" s="37" t="n"/>
      <c r="U19" s="37" t="n"/>
      <c r="V19" s="37" t="n"/>
      <c r="W19" s="37" t="n"/>
      <c r="X19" s="37" t="n"/>
      <c r="Y19" s="37" t="n"/>
      <c r="Z19" s="37" t="n"/>
      <c r="AA19" s="37" t="n"/>
      <c r="AB19" s="37" t="n"/>
      <c r="AC19" s="37" t="n"/>
      <c r="AD19" s="37" t="n"/>
      <c r="AE19" s="37" t="n"/>
      <c r="AF19" s="37" t="n"/>
      <c r="AG19" s="37" t="n"/>
      <c r="AH19" s="37" t="n"/>
      <c r="AI19" s="39">
        <f>IF($B19="","",COUNTIF(D19:AH19,"P"))</f>
        <v/>
      </c>
      <c r="AJ19" s="39">
        <f>IF($B19="","",COUNTIF(D19:AH19,"R"))</f>
        <v/>
      </c>
      <c r="AK19" s="39">
        <f>IF($B19="","",COUNTIF(D19:AH19,"A"))</f>
        <v/>
      </c>
      <c r="AL19" s="39">
        <f>IF($B19="","",COUNTIF(D19:AH19,"C"))</f>
        <v/>
      </c>
      <c r="AM19" s="39">
        <f>IF($B19="","",COUNTIF(D19:AH19,"M"))</f>
        <v/>
      </c>
      <c r="AN19" s="40">
        <f>IF($B19="","",IF(AI19+AJ19+AK19+AM19=0,"",(AI19+AJ19)/(AI19+AJ19+AK19+AM19)))</f>
        <v/>
      </c>
      <c r="AO19" s="41">
        <f>IF($B19="","",IF('Employés'!D17="","",(AI19+AJ19+AL19)*'Employés'!D17))</f>
        <v/>
      </c>
    </row>
    <row r="20" ht="20" customHeight="1">
      <c r="A20" s="37">
        <f>IF('Employés'!B18="","",'Employés'!A18)</f>
        <v/>
      </c>
      <c r="B20" s="38">
        <f>IF('Employés'!B18="","",'Employés'!B18)</f>
        <v/>
      </c>
      <c r="C20" s="38">
        <f>IF('Employés'!C18="","",'Employés'!C18)</f>
        <v/>
      </c>
      <c r="D20" s="37" t="n"/>
      <c r="E20" s="37" t="n"/>
      <c r="F20" s="37" t="n"/>
      <c r="G20" s="37" t="n"/>
      <c r="H20" s="37" t="n"/>
      <c r="I20" s="37" t="n"/>
      <c r="J20" s="37" t="n"/>
      <c r="K20" s="37" t="n"/>
      <c r="L20" s="37" t="n"/>
      <c r="M20" s="37" t="n"/>
      <c r="N20" s="37" t="n"/>
      <c r="O20" s="37" t="n"/>
      <c r="P20" s="37" t="n"/>
      <c r="Q20" s="37" t="n"/>
      <c r="R20" s="37" t="n"/>
      <c r="S20" s="37" t="n"/>
      <c r="T20" s="37" t="n"/>
      <c r="U20" s="37" t="n"/>
      <c r="V20" s="37" t="n"/>
      <c r="W20" s="37" t="n"/>
      <c r="X20" s="37" t="n"/>
      <c r="Y20" s="37" t="n"/>
      <c r="Z20" s="37" t="n"/>
      <c r="AA20" s="37" t="n"/>
      <c r="AB20" s="37" t="n"/>
      <c r="AC20" s="37" t="n"/>
      <c r="AD20" s="37" t="n"/>
      <c r="AE20" s="37" t="n"/>
      <c r="AF20" s="37" t="n"/>
      <c r="AG20" s="37" t="n"/>
      <c r="AH20" s="37" t="n"/>
      <c r="AI20" s="39">
        <f>IF($B20="","",COUNTIF(D20:AH20,"P"))</f>
        <v/>
      </c>
      <c r="AJ20" s="39">
        <f>IF($B20="","",COUNTIF(D20:AH20,"R"))</f>
        <v/>
      </c>
      <c r="AK20" s="39">
        <f>IF($B20="","",COUNTIF(D20:AH20,"A"))</f>
        <v/>
      </c>
      <c r="AL20" s="39">
        <f>IF($B20="","",COUNTIF(D20:AH20,"C"))</f>
        <v/>
      </c>
      <c r="AM20" s="39">
        <f>IF($B20="","",COUNTIF(D20:AH20,"M"))</f>
        <v/>
      </c>
      <c r="AN20" s="40">
        <f>IF($B20="","",IF(AI20+AJ20+AK20+AM20=0,"",(AI20+AJ20)/(AI20+AJ20+AK20+AM20)))</f>
        <v/>
      </c>
      <c r="AO20" s="41">
        <f>IF($B20="","",IF('Employés'!D18="","",(AI20+AJ20+AL20)*'Employés'!D18))</f>
        <v/>
      </c>
    </row>
    <row r="21" ht="20" customHeight="1">
      <c r="A21" s="37">
        <f>IF('Employés'!B19="","",'Employés'!A19)</f>
        <v/>
      </c>
      <c r="B21" s="38">
        <f>IF('Employés'!B19="","",'Employés'!B19)</f>
        <v/>
      </c>
      <c r="C21" s="38">
        <f>IF('Employés'!C19="","",'Employés'!C19)</f>
        <v/>
      </c>
      <c r="D21" s="37" t="n"/>
      <c r="E21" s="37" t="n"/>
      <c r="F21" s="37" t="n"/>
      <c r="G21" s="37" t="n"/>
      <c r="H21" s="37" t="n"/>
      <c r="I21" s="37" t="n"/>
      <c r="J21" s="37" t="n"/>
      <c r="K21" s="37" t="n"/>
      <c r="L21" s="37" t="n"/>
      <c r="M21" s="37" t="n"/>
      <c r="N21" s="37" t="n"/>
      <c r="O21" s="37" t="n"/>
      <c r="P21" s="37" t="n"/>
      <c r="Q21" s="37" t="n"/>
      <c r="R21" s="37" t="n"/>
      <c r="S21" s="37" t="n"/>
      <c r="T21" s="37" t="n"/>
      <c r="U21" s="37" t="n"/>
      <c r="V21" s="37" t="n"/>
      <c r="W21" s="37" t="n"/>
      <c r="X21" s="37" t="n"/>
      <c r="Y21" s="37" t="n"/>
      <c r="Z21" s="37" t="n"/>
      <c r="AA21" s="37" t="n"/>
      <c r="AB21" s="37" t="n"/>
      <c r="AC21" s="37" t="n"/>
      <c r="AD21" s="37" t="n"/>
      <c r="AE21" s="37" t="n"/>
      <c r="AF21" s="37" t="n"/>
      <c r="AG21" s="37" t="n"/>
      <c r="AH21" s="37" t="n"/>
      <c r="AI21" s="39">
        <f>IF($B21="","",COUNTIF(D21:AH21,"P"))</f>
        <v/>
      </c>
      <c r="AJ21" s="39">
        <f>IF($B21="","",COUNTIF(D21:AH21,"R"))</f>
        <v/>
      </c>
      <c r="AK21" s="39">
        <f>IF($B21="","",COUNTIF(D21:AH21,"A"))</f>
        <v/>
      </c>
      <c r="AL21" s="39">
        <f>IF($B21="","",COUNTIF(D21:AH21,"C"))</f>
        <v/>
      </c>
      <c r="AM21" s="39">
        <f>IF($B21="","",COUNTIF(D21:AH21,"M"))</f>
        <v/>
      </c>
      <c r="AN21" s="40">
        <f>IF($B21="","",IF(AI21+AJ21+AK21+AM21=0,"",(AI21+AJ21)/(AI21+AJ21+AK21+AM21)))</f>
        <v/>
      </c>
      <c r="AO21" s="41">
        <f>IF($B21="","",IF('Employés'!D19="","",(AI21+AJ21+AL21)*'Employés'!D19))</f>
        <v/>
      </c>
    </row>
    <row r="22" ht="20" customHeight="1">
      <c r="A22" s="37">
        <f>IF('Employés'!B20="","",'Employés'!A20)</f>
        <v/>
      </c>
      <c r="B22" s="38">
        <f>IF('Employés'!B20="","",'Employés'!B20)</f>
        <v/>
      </c>
      <c r="C22" s="38">
        <f>IF('Employés'!C20="","",'Employés'!C20)</f>
        <v/>
      </c>
      <c r="D22" s="37" t="n"/>
      <c r="E22" s="37" t="n"/>
      <c r="F22" s="37" t="n"/>
      <c r="G22" s="37" t="n"/>
      <c r="H22" s="37" t="n"/>
      <c r="I22" s="37" t="n"/>
      <c r="J22" s="37" t="n"/>
      <c r="K22" s="37" t="n"/>
      <c r="L22" s="37" t="n"/>
      <c r="M22" s="37" t="n"/>
      <c r="N22" s="37" t="n"/>
      <c r="O22" s="37" t="n"/>
      <c r="P22" s="37" t="n"/>
      <c r="Q22" s="37" t="n"/>
      <c r="R22" s="37" t="n"/>
      <c r="S22" s="37" t="n"/>
      <c r="T22" s="37" t="n"/>
      <c r="U22" s="37" t="n"/>
      <c r="V22" s="37" t="n"/>
      <c r="W22" s="37" t="n"/>
      <c r="X22" s="37" t="n"/>
      <c r="Y22" s="37" t="n"/>
      <c r="Z22" s="37" t="n"/>
      <c r="AA22" s="37" t="n"/>
      <c r="AB22" s="37" t="n"/>
      <c r="AC22" s="37" t="n"/>
      <c r="AD22" s="37" t="n"/>
      <c r="AE22" s="37" t="n"/>
      <c r="AF22" s="37" t="n"/>
      <c r="AG22" s="37" t="n"/>
      <c r="AH22" s="37" t="n"/>
      <c r="AI22" s="39">
        <f>IF($B22="","",COUNTIF(D22:AH22,"P"))</f>
        <v/>
      </c>
      <c r="AJ22" s="39">
        <f>IF($B22="","",COUNTIF(D22:AH22,"R"))</f>
        <v/>
      </c>
      <c r="AK22" s="39">
        <f>IF($B22="","",COUNTIF(D22:AH22,"A"))</f>
        <v/>
      </c>
      <c r="AL22" s="39">
        <f>IF($B22="","",COUNTIF(D22:AH22,"C"))</f>
        <v/>
      </c>
      <c r="AM22" s="39">
        <f>IF($B22="","",COUNTIF(D22:AH22,"M"))</f>
        <v/>
      </c>
      <c r="AN22" s="40">
        <f>IF($B22="","",IF(AI22+AJ22+AK22+AM22=0,"",(AI22+AJ22)/(AI22+AJ22+AK22+AM22)))</f>
        <v/>
      </c>
      <c r="AO22" s="41">
        <f>IF($B22="","",IF('Employés'!D20="","",(AI22+AJ22+AL22)*'Employés'!D20))</f>
        <v/>
      </c>
    </row>
    <row r="23" ht="20" customHeight="1">
      <c r="A23" s="37">
        <f>IF('Employés'!B21="","",'Employés'!A21)</f>
        <v/>
      </c>
      <c r="B23" s="38">
        <f>IF('Employés'!B21="","",'Employés'!B21)</f>
        <v/>
      </c>
      <c r="C23" s="38">
        <f>IF('Employés'!C21="","",'Employés'!C21)</f>
        <v/>
      </c>
      <c r="D23" s="37" t="n"/>
      <c r="E23" s="37" t="n"/>
      <c r="F23" s="37" t="n"/>
      <c r="G23" s="37" t="n"/>
      <c r="H23" s="37" t="n"/>
      <c r="I23" s="37" t="n"/>
      <c r="J23" s="37" t="n"/>
      <c r="K23" s="37" t="n"/>
      <c r="L23" s="37" t="n"/>
      <c r="M23" s="37" t="n"/>
      <c r="N23" s="37" t="n"/>
      <c r="O23" s="37" t="n"/>
      <c r="P23" s="37" t="n"/>
      <c r="Q23" s="37" t="n"/>
      <c r="R23" s="37" t="n"/>
      <c r="S23" s="37" t="n"/>
      <c r="T23" s="37" t="n"/>
      <c r="U23" s="37" t="n"/>
      <c r="V23" s="37" t="n"/>
      <c r="W23" s="37" t="n"/>
      <c r="X23" s="37" t="n"/>
      <c r="Y23" s="37" t="n"/>
      <c r="Z23" s="37" t="n"/>
      <c r="AA23" s="37" t="n"/>
      <c r="AB23" s="37" t="n"/>
      <c r="AC23" s="37" t="n"/>
      <c r="AD23" s="37" t="n"/>
      <c r="AE23" s="37" t="n"/>
      <c r="AF23" s="37" t="n"/>
      <c r="AG23" s="37" t="n"/>
      <c r="AH23" s="37" t="n"/>
      <c r="AI23" s="39">
        <f>IF($B23="","",COUNTIF(D23:AH23,"P"))</f>
        <v/>
      </c>
      <c r="AJ23" s="39">
        <f>IF($B23="","",COUNTIF(D23:AH23,"R"))</f>
        <v/>
      </c>
      <c r="AK23" s="39">
        <f>IF($B23="","",COUNTIF(D23:AH23,"A"))</f>
        <v/>
      </c>
      <c r="AL23" s="39">
        <f>IF($B23="","",COUNTIF(D23:AH23,"C"))</f>
        <v/>
      </c>
      <c r="AM23" s="39">
        <f>IF($B23="","",COUNTIF(D23:AH23,"M"))</f>
        <v/>
      </c>
      <c r="AN23" s="40">
        <f>IF($B23="","",IF(AI23+AJ23+AK23+AM23=0,"",(AI23+AJ23)/(AI23+AJ23+AK23+AM23)))</f>
        <v/>
      </c>
      <c r="AO23" s="41">
        <f>IF($B23="","",IF('Employés'!D21="","",(AI23+AJ23+AL23)*'Employés'!D21))</f>
        <v/>
      </c>
    </row>
    <row r="24" ht="20" customHeight="1">
      <c r="A24" s="37">
        <f>IF('Employés'!B22="","",'Employés'!A22)</f>
        <v/>
      </c>
      <c r="B24" s="38">
        <f>IF('Employés'!B22="","",'Employés'!B22)</f>
        <v/>
      </c>
      <c r="C24" s="38">
        <f>IF('Employés'!C22="","",'Employés'!C22)</f>
        <v/>
      </c>
      <c r="D24" s="37" t="n"/>
      <c r="E24" s="37" t="n"/>
      <c r="F24" s="37" t="n"/>
      <c r="G24" s="37" t="n"/>
      <c r="H24" s="37" t="n"/>
      <c r="I24" s="37" t="n"/>
      <c r="J24" s="37" t="n"/>
      <c r="K24" s="37" t="n"/>
      <c r="L24" s="37" t="n"/>
      <c r="M24" s="37" t="n"/>
      <c r="N24" s="37" t="n"/>
      <c r="O24" s="37" t="n"/>
      <c r="P24" s="37" t="n"/>
      <c r="Q24" s="37" t="n"/>
      <c r="R24" s="37" t="n"/>
      <c r="S24" s="37" t="n"/>
      <c r="T24" s="37" t="n"/>
      <c r="U24" s="37" t="n"/>
      <c r="V24" s="37" t="n"/>
      <c r="W24" s="37" t="n"/>
      <c r="X24" s="37" t="n"/>
      <c r="Y24" s="37" t="n"/>
      <c r="Z24" s="37" t="n"/>
      <c r="AA24" s="37" t="n"/>
      <c r="AB24" s="37" t="n"/>
      <c r="AC24" s="37" t="n"/>
      <c r="AD24" s="37" t="n"/>
      <c r="AE24" s="37" t="n"/>
      <c r="AF24" s="37" t="n"/>
      <c r="AG24" s="37" t="n"/>
      <c r="AH24" s="37" t="n"/>
      <c r="AI24" s="39">
        <f>IF($B24="","",COUNTIF(D24:AH24,"P"))</f>
        <v/>
      </c>
      <c r="AJ24" s="39">
        <f>IF($B24="","",COUNTIF(D24:AH24,"R"))</f>
        <v/>
      </c>
      <c r="AK24" s="39">
        <f>IF($B24="","",COUNTIF(D24:AH24,"A"))</f>
        <v/>
      </c>
      <c r="AL24" s="39">
        <f>IF($B24="","",COUNTIF(D24:AH24,"C"))</f>
        <v/>
      </c>
      <c r="AM24" s="39">
        <f>IF($B24="","",COUNTIF(D24:AH24,"M"))</f>
        <v/>
      </c>
      <c r="AN24" s="40">
        <f>IF($B24="","",IF(AI24+AJ24+AK24+AM24=0,"",(AI24+AJ24)/(AI24+AJ24+AK24+AM24)))</f>
        <v/>
      </c>
      <c r="AO24" s="41">
        <f>IF($B24="","",IF('Employés'!D22="","",(AI24+AJ24+AL24)*'Employés'!D22))</f>
        <v/>
      </c>
    </row>
    <row r="25" ht="20" customHeight="1">
      <c r="A25" s="37">
        <f>IF('Employés'!B23="","",'Employés'!A23)</f>
        <v/>
      </c>
      <c r="B25" s="38">
        <f>IF('Employés'!B23="","",'Employés'!B23)</f>
        <v/>
      </c>
      <c r="C25" s="38">
        <f>IF('Employés'!C23="","",'Employés'!C23)</f>
        <v/>
      </c>
      <c r="D25" s="37" t="n"/>
      <c r="E25" s="37" t="n"/>
      <c r="F25" s="37" t="n"/>
      <c r="G25" s="37" t="n"/>
      <c r="H25" s="37" t="n"/>
      <c r="I25" s="37" t="n"/>
      <c r="J25" s="37" t="n"/>
      <c r="K25" s="37" t="n"/>
      <c r="L25" s="37" t="n"/>
      <c r="M25" s="37" t="n"/>
      <c r="N25" s="37" t="n"/>
      <c r="O25" s="37" t="n"/>
      <c r="P25" s="37" t="n"/>
      <c r="Q25" s="37" t="n"/>
      <c r="R25" s="37" t="n"/>
      <c r="S25" s="37" t="n"/>
      <c r="T25" s="37" t="n"/>
      <c r="U25" s="37" t="n"/>
      <c r="V25" s="37" t="n"/>
      <c r="W25" s="37" t="n"/>
      <c r="X25" s="37" t="n"/>
      <c r="Y25" s="37" t="n"/>
      <c r="Z25" s="37" t="n"/>
      <c r="AA25" s="37" t="n"/>
      <c r="AB25" s="37" t="n"/>
      <c r="AC25" s="37" t="n"/>
      <c r="AD25" s="37" t="n"/>
      <c r="AE25" s="37" t="n"/>
      <c r="AF25" s="37" t="n"/>
      <c r="AG25" s="37" t="n"/>
      <c r="AH25" s="37" t="n"/>
      <c r="AI25" s="39">
        <f>IF($B25="","",COUNTIF(D25:AH25,"P"))</f>
        <v/>
      </c>
      <c r="AJ25" s="39">
        <f>IF($B25="","",COUNTIF(D25:AH25,"R"))</f>
        <v/>
      </c>
      <c r="AK25" s="39">
        <f>IF($B25="","",COUNTIF(D25:AH25,"A"))</f>
        <v/>
      </c>
      <c r="AL25" s="39">
        <f>IF($B25="","",COUNTIF(D25:AH25,"C"))</f>
        <v/>
      </c>
      <c r="AM25" s="39">
        <f>IF($B25="","",COUNTIF(D25:AH25,"M"))</f>
        <v/>
      </c>
      <c r="AN25" s="40">
        <f>IF($B25="","",IF(AI25+AJ25+AK25+AM25=0,"",(AI25+AJ25)/(AI25+AJ25+AK25+AM25)))</f>
        <v/>
      </c>
      <c r="AO25" s="41">
        <f>IF($B25="","",IF('Employés'!D23="","",(AI25+AJ25+AL25)*'Employés'!D23))</f>
        <v/>
      </c>
    </row>
    <row r="26" ht="20" customHeight="1">
      <c r="A26" s="37">
        <f>IF('Employés'!B24="","",'Employés'!A24)</f>
        <v/>
      </c>
      <c r="B26" s="38">
        <f>IF('Employés'!B24="","",'Employés'!B24)</f>
        <v/>
      </c>
      <c r="C26" s="38">
        <f>IF('Employés'!C24="","",'Employés'!C24)</f>
        <v/>
      </c>
      <c r="D26" s="37" t="n"/>
      <c r="E26" s="37" t="n"/>
      <c r="F26" s="37" t="n"/>
      <c r="G26" s="37" t="n"/>
      <c r="H26" s="37" t="n"/>
      <c r="I26" s="37" t="n"/>
      <c r="J26" s="37" t="n"/>
      <c r="K26" s="37" t="n"/>
      <c r="L26" s="37" t="n"/>
      <c r="M26" s="37" t="n"/>
      <c r="N26" s="37" t="n"/>
      <c r="O26" s="37" t="n"/>
      <c r="P26" s="37" t="n"/>
      <c r="Q26" s="37" t="n"/>
      <c r="R26" s="37" t="n"/>
      <c r="S26" s="37" t="n"/>
      <c r="T26" s="37" t="n"/>
      <c r="U26" s="37" t="n"/>
      <c r="V26" s="37" t="n"/>
      <c r="W26" s="37" t="n"/>
      <c r="X26" s="37" t="n"/>
      <c r="Y26" s="37" t="n"/>
      <c r="Z26" s="37" t="n"/>
      <c r="AA26" s="37" t="n"/>
      <c r="AB26" s="37" t="n"/>
      <c r="AC26" s="37" t="n"/>
      <c r="AD26" s="37" t="n"/>
      <c r="AE26" s="37" t="n"/>
      <c r="AF26" s="37" t="n"/>
      <c r="AG26" s="37" t="n"/>
      <c r="AH26" s="37" t="n"/>
      <c r="AI26" s="39">
        <f>IF($B26="","",COUNTIF(D26:AH26,"P"))</f>
        <v/>
      </c>
      <c r="AJ26" s="39">
        <f>IF($B26="","",COUNTIF(D26:AH26,"R"))</f>
        <v/>
      </c>
      <c r="AK26" s="39">
        <f>IF($B26="","",COUNTIF(D26:AH26,"A"))</f>
        <v/>
      </c>
      <c r="AL26" s="39">
        <f>IF($B26="","",COUNTIF(D26:AH26,"C"))</f>
        <v/>
      </c>
      <c r="AM26" s="39">
        <f>IF($B26="","",COUNTIF(D26:AH26,"M"))</f>
        <v/>
      </c>
      <c r="AN26" s="40">
        <f>IF($B26="","",IF(AI26+AJ26+AK26+AM26=0,"",(AI26+AJ26)/(AI26+AJ26+AK26+AM26)))</f>
        <v/>
      </c>
      <c r="AO26" s="41">
        <f>IF($B26="","",IF('Employés'!D24="","",(AI26+AJ26+AL26)*'Employés'!D24))</f>
        <v/>
      </c>
    </row>
    <row r="27" ht="20" customHeight="1">
      <c r="A27" s="37">
        <f>IF('Employés'!B25="","",'Employés'!A25)</f>
        <v/>
      </c>
      <c r="B27" s="38">
        <f>IF('Employés'!B25="","",'Employés'!B25)</f>
        <v/>
      </c>
      <c r="C27" s="38">
        <f>IF('Employés'!C25="","",'Employés'!C25)</f>
        <v/>
      </c>
      <c r="D27" s="37" t="n"/>
      <c r="E27" s="37" t="n"/>
      <c r="F27" s="37" t="n"/>
      <c r="G27" s="37" t="n"/>
      <c r="H27" s="37" t="n"/>
      <c r="I27" s="37" t="n"/>
      <c r="J27" s="37" t="n"/>
      <c r="K27" s="37" t="n"/>
      <c r="L27" s="37" t="n"/>
      <c r="M27" s="37" t="n"/>
      <c r="N27" s="37" t="n"/>
      <c r="O27" s="37" t="n"/>
      <c r="P27" s="37" t="n"/>
      <c r="Q27" s="37" t="n"/>
      <c r="R27" s="37" t="n"/>
      <c r="S27" s="37" t="n"/>
      <c r="T27" s="37" t="n"/>
      <c r="U27" s="37" t="n"/>
      <c r="V27" s="37" t="n"/>
      <c r="W27" s="37" t="n"/>
      <c r="X27" s="37" t="n"/>
      <c r="Y27" s="37" t="n"/>
      <c r="Z27" s="37" t="n"/>
      <c r="AA27" s="37" t="n"/>
      <c r="AB27" s="37" t="n"/>
      <c r="AC27" s="37" t="n"/>
      <c r="AD27" s="37" t="n"/>
      <c r="AE27" s="37" t="n"/>
      <c r="AF27" s="37" t="n"/>
      <c r="AG27" s="37" t="n"/>
      <c r="AH27" s="37" t="n"/>
      <c r="AI27" s="39">
        <f>IF($B27="","",COUNTIF(D27:AH27,"P"))</f>
        <v/>
      </c>
      <c r="AJ27" s="39">
        <f>IF($B27="","",COUNTIF(D27:AH27,"R"))</f>
        <v/>
      </c>
      <c r="AK27" s="39">
        <f>IF($B27="","",COUNTIF(D27:AH27,"A"))</f>
        <v/>
      </c>
      <c r="AL27" s="39">
        <f>IF($B27="","",COUNTIF(D27:AH27,"C"))</f>
        <v/>
      </c>
      <c r="AM27" s="39">
        <f>IF($B27="","",COUNTIF(D27:AH27,"M"))</f>
        <v/>
      </c>
      <c r="AN27" s="40">
        <f>IF($B27="","",IF(AI27+AJ27+AK27+AM27=0,"",(AI27+AJ27)/(AI27+AJ27+AK27+AM27)))</f>
        <v/>
      </c>
      <c r="AO27" s="41">
        <f>IF($B27="","",IF('Employés'!D25="","",(AI27+AJ27+AL27)*'Employés'!D25))</f>
        <v/>
      </c>
    </row>
    <row r="28" ht="20" customHeight="1">
      <c r="A28" s="37">
        <f>IF('Employés'!B26="","",'Employés'!A26)</f>
        <v/>
      </c>
      <c r="B28" s="38">
        <f>IF('Employés'!B26="","",'Employés'!B26)</f>
        <v/>
      </c>
      <c r="C28" s="38">
        <f>IF('Employés'!C26="","",'Employés'!C26)</f>
        <v/>
      </c>
      <c r="D28" s="37" t="n"/>
      <c r="E28" s="37" t="n"/>
      <c r="F28" s="37" t="n"/>
      <c r="G28" s="37" t="n"/>
      <c r="H28" s="37" t="n"/>
      <c r="I28" s="37" t="n"/>
      <c r="J28" s="37" t="n"/>
      <c r="K28" s="37" t="n"/>
      <c r="L28" s="37" t="n"/>
      <c r="M28" s="37" t="n"/>
      <c r="N28" s="37" t="n"/>
      <c r="O28" s="37" t="n"/>
      <c r="P28" s="37" t="n"/>
      <c r="Q28" s="37" t="n"/>
      <c r="R28" s="37" t="n"/>
      <c r="S28" s="37" t="n"/>
      <c r="T28" s="37" t="n"/>
      <c r="U28" s="37" t="n"/>
      <c r="V28" s="37" t="n"/>
      <c r="W28" s="37" t="n"/>
      <c r="X28" s="37" t="n"/>
      <c r="Y28" s="37" t="n"/>
      <c r="Z28" s="37" t="n"/>
      <c r="AA28" s="37" t="n"/>
      <c r="AB28" s="37" t="n"/>
      <c r="AC28" s="37" t="n"/>
      <c r="AD28" s="37" t="n"/>
      <c r="AE28" s="37" t="n"/>
      <c r="AF28" s="37" t="n"/>
      <c r="AG28" s="37" t="n"/>
      <c r="AH28" s="37" t="n"/>
      <c r="AI28" s="39">
        <f>IF($B28="","",COUNTIF(D28:AH28,"P"))</f>
        <v/>
      </c>
      <c r="AJ28" s="39">
        <f>IF($B28="","",COUNTIF(D28:AH28,"R"))</f>
        <v/>
      </c>
      <c r="AK28" s="39">
        <f>IF($B28="","",COUNTIF(D28:AH28,"A"))</f>
        <v/>
      </c>
      <c r="AL28" s="39">
        <f>IF($B28="","",COUNTIF(D28:AH28,"C"))</f>
        <v/>
      </c>
      <c r="AM28" s="39">
        <f>IF($B28="","",COUNTIF(D28:AH28,"M"))</f>
        <v/>
      </c>
      <c r="AN28" s="40">
        <f>IF($B28="","",IF(AI28+AJ28+AK28+AM28=0,"",(AI28+AJ28)/(AI28+AJ28+AK28+AM28)))</f>
        <v/>
      </c>
      <c r="AO28" s="41">
        <f>IF($B28="","",IF('Employés'!D26="","",(AI28+AJ28+AL28)*'Employés'!D26))</f>
        <v/>
      </c>
    </row>
    <row r="29" ht="20" customHeight="1">
      <c r="A29" s="37">
        <f>IF('Employés'!B27="","",'Employés'!A27)</f>
        <v/>
      </c>
      <c r="B29" s="38">
        <f>IF('Employés'!B27="","",'Employés'!B27)</f>
        <v/>
      </c>
      <c r="C29" s="38">
        <f>IF('Employés'!C27="","",'Employés'!C27)</f>
        <v/>
      </c>
      <c r="D29" s="37" t="n"/>
      <c r="E29" s="37" t="n"/>
      <c r="F29" s="37" t="n"/>
      <c r="G29" s="37" t="n"/>
      <c r="H29" s="37" t="n"/>
      <c r="I29" s="37" t="n"/>
      <c r="J29" s="37" t="n"/>
      <c r="K29" s="37" t="n"/>
      <c r="L29" s="37" t="n"/>
      <c r="M29" s="37" t="n"/>
      <c r="N29" s="37" t="n"/>
      <c r="O29" s="37" t="n"/>
      <c r="P29" s="37" t="n"/>
      <c r="Q29" s="37" t="n"/>
      <c r="R29" s="37" t="n"/>
      <c r="S29" s="37" t="n"/>
      <c r="T29" s="37" t="n"/>
      <c r="U29" s="37" t="n"/>
      <c r="V29" s="37" t="n"/>
      <c r="W29" s="37" t="n"/>
      <c r="X29" s="37" t="n"/>
      <c r="Y29" s="37" t="n"/>
      <c r="Z29" s="37" t="n"/>
      <c r="AA29" s="37" t="n"/>
      <c r="AB29" s="37" t="n"/>
      <c r="AC29" s="37" t="n"/>
      <c r="AD29" s="37" t="n"/>
      <c r="AE29" s="37" t="n"/>
      <c r="AF29" s="37" t="n"/>
      <c r="AG29" s="37" t="n"/>
      <c r="AH29" s="37" t="n"/>
      <c r="AI29" s="39">
        <f>IF($B29="","",COUNTIF(D29:AH29,"P"))</f>
        <v/>
      </c>
      <c r="AJ29" s="39">
        <f>IF($B29="","",COUNTIF(D29:AH29,"R"))</f>
        <v/>
      </c>
      <c r="AK29" s="39">
        <f>IF($B29="","",COUNTIF(D29:AH29,"A"))</f>
        <v/>
      </c>
      <c r="AL29" s="39">
        <f>IF($B29="","",COUNTIF(D29:AH29,"C"))</f>
        <v/>
      </c>
      <c r="AM29" s="39">
        <f>IF($B29="","",COUNTIF(D29:AH29,"M"))</f>
        <v/>
      </c>
      <c r="AN29" s="40">
        <f>IF($B29="","",IF(AI29+AJ29+AK29+AM29=0,"",(AI29+AJ29)/(AI29+AJ29+AK29+AM29)))</f>
        <v/>
      </c>
      <c r="AO29" s="41">
        <f>IF($B29="","",IF('Employés'!D27="","",(AI29+AJ29+AL29)*'Employés'!D27))</f>
        <v/>
      </c>
    </row>
    <row r="30" ht="20" customHeight="1">
      <c r="A30" s="37">
        <f>IF('Employés'!B28="","",'Employés'!A28)</f>
        <v/>
      </c>
      <c r="B30" s="38">
        <f>IF('Employés'!B28="","",'Employés'!B28)</f>
        <v/>
      </c>
      <c r="C30" s="38">
        <f>IF('Employés'!C28="","",'Employés'!C28)</f>
        <v/>
      </c>
      <c r="D30" s="37" t="n"/>
      <c r="E30" s="37" t="n"/>
      <c r="F30" s="37" t="n"/>
      <c r="G30" s="37" t="n"/>
      <c r="H30" s="37" t="n"/>
      <c r="I30" s="37" t="n"/>
      <c r="J30" s="37" t="n"/>
      <c r="K30" s="37" t="n"/>
      <c r="L30" s="37" t="n"/>
      <c r="M30" s="37" t="n"/>
      <c r="N30" s="37" t="n"/>
      <c r="O30" s="37" t="n"/>
      <c r="P30" s="37" t="n"/>
      <c r="Q30" s="37" t="n"/>
      <c r="R30" s="37" t="n"/>
      <c r="S30" s="37" t="n"/>
      <c r="T30" s="37" t="n"/>
      <c r="U30" s="37" t="n"/>
      <c r="V30" s="37" t="n"/>
      <c r="W30" s="37" t="n"/>
      <c r="X30" s="37" t="n"/>
      <c r="Y30" s="37" t="n"/>
      <c r="Z30" s="37" t="n"/>
      <c r="AA30" s="37" t="n"/>
      <c r="AB30" s="37" t="n"/>
      <c r="AC30" s="37" t="n"/>
      <c r="AD30" s="37" t="n"/>
      <c r="AE30" s="37" t="n"/>
      <c r="AF30" s="37" t="n"/>
      <c r="AG30" s="37" t="n"/>
      <c r="AH30" s="37" t="n"/>
      <c r="AI30" s="39">
        <f>IF($B30="","",COUNTIF(D30:AH30,"P"))</f>
        <v/>
      </c>
      <c r="AJ30" s="39">
        <f>IF($B30="","",COUNTIF(D30:AH30,"R"))</f>
        <v/>
      </c>
      <c r="AK30" s="39">
        <f>IF($B30="","",COUNTIF(D30:AH30,"A"))</f>
        <v/>
      </c>
      <c r="AL30" s="39">
        <f>IF($B30="","",COUNTIF(D30:AH30,"C"))</f>
        <v/>
      </c>
      <c r="AM30" s="39">
        <f>IF($B30="","",COUNTIF(D30:AH30,"M"))</f>
        <v/>
      </c>
      <c r="AN30" s="40">
        <f>IF($B30="","",IF(AI30+AJ30+AK30+AM30=0,"",(AI30+AJ30)/(AI30+AJ30+AK30+AM30)))</f>
        <v/>
      </c>
      <c r="AO30" s="41">
        <f>IF($B30="","",IF('Employés'!D28="","",(AI30+AJ30+AL30)*'Employés'!D28))</f>
        <v/>
      </c>
    </row>
    <row r="31" ht="20" customHeight="1">
      <c r="A31" s="37">
        <f>IF('Employés'!B29="","",'Employés'!A29)</f>
        <v/>
      </c>
      <c r="B31" s="38">
        <f>IF('Employés'!B29="","",'Employés'!B29)</f>
        <v/>
      </c>
      <c r="C31" s="38">
        <f>IF('Employés'!C29="","",'Employés'!C29)</f>
        <v/>
      </c>
      <c r="D31" s="37" t="n"/>
      <c r="E31" s="37" t="n"/>
      <c r="F31" s="37" t="n"/>
      <c r="G31" s="37" t="n"/>
      <c r="H31" s="37" t="n"/>
      <c r="I31" s="37" t="n"/>
      <c r="J31" s="37" t="n"/>
      <c r="K31" s="37" t="n"/>
      <c r="L31" s="37" t="n"/>
      <c r="M31" s="37" t="n"/>
      <c r="N31" s="37" t="n"/>
      <c r="O31" s="37" t="n"/>
      <c r="P31" s="37" t="n"/>
      <c r="Q31" s="37" t="n"/>
      <c r="R31" s="37" t="n"/>
      <c r="S31" s="37" t="n"/>
      <c r="T31" s="37" t="n"/>
      <c r="U31" s="37" t="n"/>
      <c r="V31" s="37" t="n"/>
      <c r="W31" s="37" t="n"/>
      <c r="X31" s="37" t="n"/>
      <c r="Y31" s="37" t="n"/>
      <c r="Z31" s="37" t="n"/>
      <c r="AA31" s="37" t="n"/>
      <c r="AB31" s="37" t="n"/>
      <c r="AC31" s="37" t="n"/>
      <c r="AD31" s="37" t="n"/>
      <c r="AE31" s="37" t="n"/>
      <c r="AF31" s="37" t="n"/>
      <c r="AG31" s="37" t="n"/>
      <c r="AH31" s="37" t="n"/>
      <c r="AI31" s="39">
        <f>IF($B31="","",COUNTIF(D31:AH31,"P"))</f>
        <v/>
      </c>
      <c r="AJ31" s="39">
        <f>IF($B31="","",COUNTIF(D31:AH31,"R"))</f>
        <v/>
      </c>
      <c r="AK31" s="39">
        <f>IF($B31="","",COUNTIF(D31:AH31,"A"))</f>
        <v/>
      </c>
      <c r="AL31" s="39">
        <f>IF($B31="","",COUNTIF(D31:AH31,"C"))</f>
        <v/>
      </c>
      <c r="AM31" s="39">
        <f>IF($B31="","",COUNTIF(D31:AH31,"M"))</f>
        <v/>
      </c>
      <c r="AN31" s="40">
        <f>IF($B31="","",IF(AI31+AJ31+AK31+AM31=0,"",(AI31+AJ31)/(AI31+AJ31+AK31+AM31)))</f>
        <v/>
      </c>
      <c r="AO31" s="41">
        <f>IF($B31="","",IF('Employés'!D29="","",(AI31+AJ31+AL31)*'Employés'!D29))</f>
        <v/>
      </c>
    </row>
    <row r="32" ht="20" customHeight="1">
      <c r="A32" s="37">
        <f>IF('Employés'!B30="","",'Employés'!A30)</f>
        <v/>
      </c>
      <c r="B32" s="38">
        <f>IF('Employés'!B30="","",'Employés'!B30)</f>
        <v/>
      </c>
      <c r="C32" s="38">
        <f>IF('Employés'!C30="","",'Employés'!C30)</f>
        <v/>
      </c>
      <c r="D32" s="37" t="n"/>
      <c r="E32" s="37" t="n"/>
      <c r="F32" s="37" t="n"/>
      <c r="G32" s="37" t="n"/>
      <c r="H32" s="37" t="n"/>
      <c r="I32" s="37" t="n"/>
      <c r="J32" s="37" t="n"/>
      <c r="K32" s="37" t="n"/>
      <c r="L32" s="37" t="n"/>
      <c r="M32" s="37" t="n"/>
      <c r="N32" s="37" t="n"/>
      <c r="O32" s="37" t="n"/>
      <c r="P32" s="37" t="n"/>
      <c r="Q32" s="37" t="n"/>
      <c r="R32" s="37" t="n"/>
      <c r="S32" s="37" t="n"/>
      <c r="T32" s="37" t="n"/>
      <c r="U32" s="37" t="n"/>
      <c r="V32" s="37" t="n"/>
      <c r="W32" s="37" t="n"/>
      <c r="X32" s="37" t="n"/>
      <c r="Y32" s="37" t="n"/>
      <c r="Z32" s="37" t="n"/>
      <c r="AA32" s="37" t="n"/>
      <c r="AB32" s="37" t="n"/>
      <c r="AC32" s="37" t="n"/>
      <c r="AD32" s="37" t="n"/>
      <c r="AE32" s="37" t="n"/>
      <c r="AF32" s="37" t="n"/>
      <c r="AG32" s="37" t="n"/>
      <c r="AH32" s="37" t="n"/>
      <c r="AI32" s="39">
        <f>IF($B32="","",COUNTIF(D32:AH32,"P"))</f>
        <v/>
      </c>
      <c r="AJ32" s="39">
        <f>IF($B32="","",COUNTIF(D32:AH32,"R"))</f>
        <v/>
      </c>
      <c r="AK32" s="39">
        <f>IF($B32="","",COUNTIF(D32:AH32,"A"))</f>
        <v/>
      </c>
      <c r="AL32" s="39">
        <f>IF($B32="","",COUNTIF(D32:AH32,"C"))</f>
        <v/>
      </c>
      <c r="AM32" s="39">
        <f>IF($B32="","",COUNTIF(D32:AH32,"M"))</f>
        <v/>
      </c>
      <c r="AN32" s="40">
        <f>IF($B32="","",IF(AI32+AJ32+AK32+AM32=0,"",(AI32+AJ32)/(AI32+AJ32+AK32+AM32)))</f>
        <v/>
      </c>
      <c r="AO32" s="41">
        <f>IF($B32="","",IF('Employés'!D30="","",(AI32+AJ32+AL32)*'Employés'!D30))</f>
        <v/>
      </c>
    </row>
    <row r="33" ht="20" customHeight="1">
      <c r="A33" s="37">
        <f>IF('Employés'!B31="","",'Employés'!A31)</f>
        <v/>
      </c>
      <c r="B33" s="38">
        <f>IF('Employés'!B31="","",'Employés'!B31)</f>
        <v/>
      </c>
      <c r="C33" s="38">
        <f>IF('Employés'!C31="","",'Employés'!C31)</f>
        <v/>
      </c>
      <c r="D33" s="37" t="n"/>
      <c r="E33" s="37" t="n"/>
      <c r="F33" s="37" t="n"/>
      <c r="G33" s="37" t="n"/>
      <c r="H33" s="37" t="n"/>
      <c r="I33" s="37" t="n"/>
      <c r="J33" s="37" t="n"/>
      <c r="K33" s="37" t="n"/>
      <c r="L33" s="37" t="n"/>
      <c r="M33" s="37" t="n"/>
      <c r="N33" s="37" t="n"/>
      <c r="O33" s="37" t="n"/>
      <c r="P33" s="37" t="n"/>
      <c r="Q33" s="37" t="n"/>
      <c r="R33" s="37" t="n"/>
      <c r="S33" s="37" t="n"/>
      <c r="T33" s="37" t="n"/>
      <c r="U33" s="37" t="n"/>
      <c r="V33" s="37" t="n"/>
      <c r="W33" s="37" t="n"/>
      <c r="X33" s="37" t="n"/>
      <c r="Y33" s="37" t="n"/>
      <c r="Z33" s="37" t="n"/>
      <c r="AA33" s="37" t="n"/>
      <c r="AB33" s="37" t="n"/>
      <c r="AC33" s="37" t="n"/>
      <c r="AD33" s="37" t="n"/>
      <c r="AE33" s="37" t="n"/>
      <c r="AF33" s="37" t="n"/>
      <c r="AG33" s="37" t="n"/>
      <c r="AH33" s="37" t="n"/>
      <c r="AI33" s="39">
        <f>IF($B33="","",COUNTIF(D33:AH33,"P"))</f>
        <v/>
      </c>
      <c r="AJ33" s="39">
        <f>IF($B33="","",COUNTIF(D33:AH33,"R"))</f>
        <v/>
      </c>
      <c r="AK33" s="39">
        <f>IF($B33="","",COUNTIF(D33:AH33,"A"))</f>
        <v/>
      </c>
      <c r="AL33" s="39">
        <f>IF($B33="","",COUNTIF(D33:AH33,"C"))</f>
        <v/>
      </c>
      <c r="AM33" s="39">
        <f>IF($B33="","",COUNTIF(D33:AH33,"M"))</f>
        <v/>
      </c>
      <c r="AN33" s="40">
        <f>IF($B33="","",IF(AI33+AJ33+AK33+AM33=0,"",(AI33+AJ33)/(AI33+AJ33+AK33+AM33)))</f>
        <v/>
      </c>
      <c r="AO33" s="41">
        <f>IF($B33="","",IF('Employés'!D31="","",(AI33+AJ33+AL33)*'Employés'!D31))</f>
        <v/>
      </c>
    </row>
    <row r="34" ht="20" customHeight="1">
      <c r="A34" s="37">
        <f>IF('Employés'!B32="","",'Employés'!A32)</f>
        <v/>
      </c>
      <c r="B34" s="38">
        <f>IF('Employés'!B32="","",'Employés'!B32)</f>
        <v/>
      </c>
      <c r="C34" s="38">
        <f>IF('Employés'!C32="","",'Employés'!C32)</f>
        <v/>
      </c>
      <c r="D34" s="37" t="n"/>
      <c r="E34" s="37" t="n"/>
      <c r="F34" s="37" t="n"/>
      <c r="G34" s="37" t="n"/>
      <c r="H34" s="37" t="n"/>
      <c r="I34" s="37" t="n"/>
      <c r="J34" s="37" t="n"/>
      <c r="K34" s="37" t="n"/>
      <c r="L34" s="37" t="n"/>
      <c r="M34" s="37" t="n"/>
      <c r="N34" s="37" t="n"/>
      <c r="O34" s="37" t="n"/>
      <c r="P34" s="37" t="n"/>
      <c r="Q34" s="37" t="n"/>
      <c r="R34" s="37" t="n"/>
      <c r="S34" s="37" t="n"/>
      <c r="T34" s="37" t="n"/>
      <c r="U34" s="37" t="n"/>
      <c r="V34" s="37" t="n"/>
      <c r="W34" s="37" t="n"/>
      <c r="X34" s="37" t="n"/>
      <c r="Y34" s="37" t="n"/>
      <c r="Z34" s="37" t="n"/>
      <c r="AA34" s="37" t="n"/>
      <c r="AB34" s="37" t="n"/>
      <c r="AC34" s="37" t="n"/>
      <c r="AD34" s="37" t="n"/>
      <c r="AE34" s="37" t="n"/>
      <c r="AF34" s="37" t="n"/>
      <c r="AG34" s="37" t="n"/>
      <c r="AH34" s="37" t="n"/>
      <c r="AI34" s="39">
        <f>IF($B34="","",COUNTIF(D34:AH34,"P"))</f>
        <v/>
      </c>
      <c r="AJ34" s="39">
        <f>IF($B34="","",COUNTIF(D34:AH34,"R"))</f>
        <v/>
      </c>
      <c r="AK34" s="39">
        <f>IF($B34="","",COUNTIF(D34:AH34,"A"))</f>
        <v/>
      </c>
      <c r="AL34" s="39">
        <f>IF($B34="","",COUNTIF(D34:AH34,"C"))</f>
        <v/>
      </c>
      <c r="AM34" s="39">
        <f>IF($B34="","",COUNTIF(D34:AH34,"M"))</f>
        <v/>
      </c>
      <c r="AN34" s="40">
        <f>IF($B34="","",IF(AI34+AJ34+AK34+AM34=0,"",(AI34+AJ34)/(AI34+AJ34+AK34+AM34)))</f>
        <v/>
      </c>
      <c r="AO34" s="41">
        <f>IF($B34="","",IF('Employés'!D32="","",(AI34+AJ34+AL34)*'Employés'!D32))</f>
        <v/>
      </c>
    </row>
    <row r="35" ht="20" customHeight="1">
      <c r="A35" s="37">
        <f>IF('Employés'!B33="","",'Employés'!A33)</f>
        <v/>
      </c>
      <c r="B35" s="38">
        <f>IF('Employés'!B33="","",'Employés'!B33)</f>
        <v/>
      </c>
      <c r="C35" s="38">
        <f>IF('Employés'!C33="","",'Employés'!C33)</f>
        <v/>
      </c>
      <c r="D35" s="37" t="n"/>
      <c r="E35" s="37" t="n"/>
      <c r="F35" s="37" t="n"/>
      <c r="G35" s="37" t="n"/>
      <c r="H35" s="37" t="n"/>
      <c r="I35" s="37" t="n"/>
      <c r="J35" s="37" t="n"/>
      <c r="K35" s="37" t="n"/>
      <c r="L35" s="37" t="n"/>
      <c r="M35" s="37" t="n"/>
      <c r="N35" s="37" t="n"/>
      <c r="O35" s="37" t="n"/>
      <c r="P35" s="37" t="n"/>
      <c r="Q35" s="37" t="n"/>
      <c r="R35" s="37" t="n"/>
      <c r="S35" s="37" t="n"/>
      <c r="T35" s="37" t="n"/>
      <c r="U35" s="37" t="n"/>
      <c r="V35" s="37" t="n"/>
      <c r="W35" s="37" t="n"/>
      <c r="X35" s="37" t="n"/>
      <c r="Y35" s="37" t="n"/>
      <c r="Z35" s="37" t="n"/>
      <c r="AA35" s="37" t="n"/>
      <c r="AB35" s="37" t="n"/>
      <c r="AC35" s="37" t="n"/>
      <c r="AD35" s="37" t="n"/>
      <c r="AE35" s="37" t="n"/>
      <c r="AF35" s="37" t="n"/>
      <c r="AG35" s="37" t="n"/>
      <c r="AH35" s="37" t="n"/>
      <c r="AI35" s="39">
        <f>IF($B35="","",COUNTIF(D35:AH35,"P"))</f>
        <v/>
      </c>
      <c r="AJ35" s="39">
        <f>IF($B35="","",COUNTIF(D35:AH35,"R"))</f>
        <v/>
      </c>
      <c r="AK35" s="39">
        <f>IF($B35="","",COUNTIF(D35:AH35,"A"))</f>
        <v/>
      </c>
      <c r="AL35" s="39">
        <f>IF($B35="","",COUNTIF(D35:AH35,"C"))</f>
        <v/>
      </c>
      <c r="AM35" s="39">
        <f>IF($B35="","",COUNTIF(D35:AH35,"M"))</f>
        <v/>
      </c>
      <c r="AN35" s="40">
        <f>IF($B35="","",IF(AI35+AJ35+AK35+AM35=0,"",(AI35+AJ35)/(AI35+AJ35+AK35+AM35)))</f>
        <v/>
      </c>
      <c r="AO35" s="41">
        <f>IF($B35="","",IF('Employés'!D33="","",(AI35+AJ35+AL35)*'Employés'!D33))</f>
        <v/>
      </c>
    </row>
    <row r="36" ht="20" customHeight="1">
      <c r="A36" s="37">
        <f>IF('Employés'!B34="","",'Employés'!A34)</f>
        <v/>
      </c>
      <c r="B36" s="38">
        <f>IF('Employés'!B34="","",'Employés'!B34)</f>
        <v/>
      </c>
      <c r="C36" s="38">
        <f>IF('Employés'!C34="","",'Employés'!C34)</f>
        <v/>
      </c>
      <c r="D36" s="37" t="n"/>
      <c r="E36" s="37" t="n"/>
      <c r="F36" s="37" t="n"/>
      <c r="G36" s="37" t="n"/>
      <c r="H36" s="37" t="n"/>
      <c r="I36" s="37" t="n"/>
      <c r="J36" s="37" t="n"/>
      <c r="K36" s="37" t="n"/>
      <c r="L36" s="37" t="n"/>
      <c r="M36" s="37" t="n"/>
      <c r="N36" s="37" t="n"/>
      <c r="O36" s="37" t="n"/>
      <c r="P36" s="37" t="n"/>
      <c r="Q36" s="37" t="n"/>
      <c r="R36" s="37" t="n"/>
      <c r="S36" s="37" t="n"/>
      <c r="T36" s="37" t="n"/>
      <c r="U36" s="37" t="n"/>
      <c r="V36" s="37" t="n"/>
      <c r="W36" s="37" t="n"/>
      <c r="X36" s="37" t="n"/>
      <c r="Y36" s="37" t="n"/>
      <c r="Z36" s="37" t="n"/>
      <c r="AA36" s="37" t="n"/>
      <c r="AB36" s="37" t="n"/>
      <c r="AC36" s="37" t="n"/>
      <c r="AD36" s="37" t="n"/>
      <c r="AE36" s="37" t="n"/>
      <c r="AF36" s="37" t="n"/>
      <c r="AG36" s="37" t="n"/>
      <c r="AH36" s="37" t="n"/>
      <c r="AI36" s="39">
        <f>IF($B36="","",COUNTIF(D36:AH36,"P"))</f>
        <v/>
      </c>
      <c r="AJ36" s="39">
        <f>IF($B36="","",COUNTIF(D36:AH36,"R"))</f>
        <v/>
      </c>
      <c r="AK36" s="39">
        <f>IF($B36="","",COUNTIF(D36:AH36,"A"))</f>
        <v/>
      </c>
      <c r="AL36" s="39">
        <f>IF($B36="","",COUNTIF(D36:AH36,"C"))</f>
        <v/>
      </c>
      <c r="AM36" s="39">
        <f>IF($B36="","",COUNTIF(D36:AH36,"M"))</f>
        <v/>
      </c>
      <c r="AN36" s="40">
        <f>IF($B36="","",IF(AI36+AJ36+AK36+AM36=0,"",(AI36+AJ36)/(AI36+AJ36+AK36+AM36)))</f>
        <v/>
      </c>
      <c r="AO36" s="41">
        <f>IF($B36="","",IF('Employés'!D34="","",(AI36+AJ36+AL36)*'Employés'!D34))</f>
        <v/>
      </c>
    </row>
    <row r="37">
      <c r="A37" s="42" t="n"/>
      <c r="B37" s="42" t="inlineStr">
        <is>
          <t>TOTAL</t>
        </is>
      </c>
      <c r="C37" s="42" t="n"/>
      <c r="D37" s="42" t="n"/>
      <c r="E37" s="42" t="n"/>
      <c r="F37" s="42" t="n"/>
      <c r="G37" s="42" t="n"/>
      <c r="H37" s="42" t="n"/>
      <c r="I37" s="42" t="n"/>
      <c r="J37" s="42" t="n"/>
      <c r="K37" s="42" t="n"/>
      <c r="L37" s="42" t="n"/>
      <c r="M37" s="42" t="n"/>
      <c r="N37" s="42" t="n"/>
      <c r="O37" s="42" t="n"/>
      <c r="P37" s="42" t="n"/>
      <c r="Q37" s="42" t="n"/>
      <c r="R37" s="42" t="n"/>
      <c r="S37" s="42" t="n"/>
      <c r="T37" s="42" t="n"/>
      <c r="U37" s="42" t="n"/>
      <c r="V37" s="42" t="n"/>
      <c r="W37" s="42" t="n"/>
      <c r="X37" s="42" t="n"/>
      <c r="Y37" s="42" t="n"/>
      <c r="Z37" s="42" t="n"/>
      <c r="AA37" s="42" t="n"/>
      <c r="AB37" s="42" t="n"/>
      <c r="AC37" s="42" t="n"/>
      <c r="AD37" s="42" t="n"/>
      <c r="AE37" s="42" t="n"/>
      <c r="AF37" s="42" t="n"/>
      <c r="AG37" s="42" t="n"/>
      <c r="AH37" s="42" t="n"/>
      <c r="AI37" s="42">
        <f>SUM(AI7:AI36)</f>
        <v/>
      </c>
      <c r="AJ37" s="42">
        <f>SUM(AJ7:AJ36)</f>
        <v/>
      </c>
      <c r="AK37" s="42">
        <f>SUM(AK7:AK36)</f>
        <v/>
      </c>
      <c r="AL37" s="42">
        <f>SUM(AL7:AL36)</f>
        <v/>
      </c>
      <c r="AM37" s="42">
        <f>SUM(AM7:AM36)</f>
        <v/>
      </c>
      <c r="AN37" s="42" t="n"/>
      <c r="AO37" s="43">
        <f>SUM(AO7:AO36)</f>
        <v/>
      </c>
    </row>
  </sheetData>
  <mergeCells count="17">
    <mergeCell ref="A5:A6"/>
    <mergeCell ref="A2:AO2"/>
    <mergeCell ref="AI5:AI6"/>
    <mergeCell ref="D3:G3"/>
    <mergeCell ref="S3:V3"/>
    <mergeCell ref="X3:AA3"/>
    <mergeCell ref="AJ5:AJ6"/>
    <mergeCell ref="AK5:AK6"/>
    <mergeCell ref="I3:L3"/>
    <mergeCell ref="AL5:AL6"/>
    <mergeCell ref="AM5:AM6"/>
    <mergeCell ref="AN5:AN6"/>
    <mergeCell ref="A1:AO1"/>
    <mergeCell ref="N3:Q3"/>
    <mergeCell ref="AO5:AO6"/>
    <mergeCell ref="B5:B6"/>
    <mergeCell ref="C5:C6"/>
  </mergeCells>
  <conditionalFormatting sqref="D7:AH36">
    <cfRule type="expression" priority="1" dxfId="0">
      <formula>UPPER(D7)="P"</formula>
    </cfRule>
    <cfRule type="expression" priority="2" dxfId="1">
      <formula>UPPER(D7)="R"</formula>
    </cfRule>
    <cfRule type="expression" priority="3" dxfId="2">
      <formula>UPPER(D7)="A"</formula>
    </cfRule>
    <cfRule type="expression" priority="4" dxfId="3">
      <formula>UPPER(D7)="C"</formula>
    </cfRule>
    <cfRule type="expression" priority="5" dxfId="4">
      <formula>UPPER(D7)="M"</formula>
    </cfRule>
    <cfRule type="expression" priority="6" dxfId="5">
      <formula>OR(D$6="Sam",D$6="Dim",D$5="")</formula>
    </cfRule>
  </conditionalFormatting>
  <dataValidations count="1">
    <dataValidation sqref="D7:AH36" showDropDown="0" showInputMessage="0" showErrorMessage="1" allowBlank="1" errorTitle="Code inconnu" error="Utilisez P, R, A, C ou M." type="list">
      <formula1>"P,R,A,C,M"</formula1>
    </dataValidation>
  </dataValidations>
  <pageMargins left="0.75" right="0.75" top="1" bottom="1" header="0.5" footer="0.5"/>
  <pageSetup orientation="landscape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AO37"/>
  <sheetViews>
    <sheetView zoomScale="90" workbookViewId="0">
      <pane xSplit="3" ySplit="6" topLeftCell="D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24" customWidth="1" min="2" max="2"/>
    <col width="14" customWidth="1" min="3" max="3"/>
    <col width="4.6" customWidth="1" min="4" max="4"/>
    <col width="4.6" customWidth="1" min="5" max="5"/>
    <col width="4.6" customWidth="1" min="6" max="6"/>
    <col width="4.6" customWidth="1" min="7" max="7"/>
    <col width="4.6" customWidth="1" min="8" max="8"/>
    <col width="4.6" customWidth="1" min="9" max="9"/>
    <col width="4.6" customWidth="1" min="10" max="10"/>
    <col width="4.6" customWidth="1" min="11" max="11"/>
    <col width="4.6" customWidth="1" min="12" max="12"/>
    <col width="4.6" customWidth="1" min="13" max="13"/>
    <col width="4.6" customWidth="1" min="14" max="14"/>
    <col width="4.6" customWidth="1" min="15" max="15"/>
    <col width="4.6" customWidth="1" min="16" max="16"/>
    <col width="4.6" customWidth="1" min="17" max="17"/>
    <col width="4.6" customWidth="1" min="18" max="18"/>
    <col width="4.6" customWidth="1" min="19" max="19"/>
    <col width="4.6" customWidth="1" min="20" max="20"/>
    <col width="4.6" customWidth="1" min="21" max="21"/>
    <col width="4.6" customWidth="1" min="22" max="22"/>
    <col width="4.6" customWidth="1" min="23" max="23"/>
    <col width="4.6" customWidth="1" min="24" max="24"/>
    <col width="4.6" customWidth="1" min="25" max="25"/>
    <col width="4.6" customWidth="1" min="26" max="26"/>
    <col width="4.6" customWidth="1" min="27" max="27"/>
    <col width="4.6" customWidth="1" min="28" max="28"/>
    <col width="4.6" customWidth="1" min="29" max="29"/>
    <col width="4.6" customWidth="1" min="30" max="30"/>
    <col width="4.6" customWidth="1" min="31" max="31"/>
    <col width="4.6" customWidth="1" min="32" max="32"/>
    <col width="4.6" customWidth="1" min="33" max="33"/>
    <col width="4.6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13" customWidth="1" min="40" max="40"/>
    <col width="13" customWidth="1" min="41" max="41"/>
  </cols>
  <sheetData>
    <row r="1" ht="34" customHeight="1">
      <c r="A1" s="1">
        <f>'Paramètres'!$B$4&amp;" · Pointage de Mars "&amp;'Paramètres'!$B$5</f>
        <v/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</row>
    <row r="2" ht="20" customHeight="1">
      <c r="A2" s="3" t="inlineStr">
        <is>
          <t>Outil offert par Logia (DWTS) · Un logiciel sur mesure pour votre entreprise ? WhatsApp 062 67 14 45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2" t="n"/>
      <c r="AL2" s="2" t="n"/>
      <c r="AM2" s="2" t="n"/>
      <c r="AN2" s="2" t="n"/>
      <c r="AO2" s="2" t="n"/>
    </row>
    <row r="3">
      <c r="A3" s="6" t="inlineStr">
        <is>
          <t>Codes :</t>
        </is>
      </c>
      <c r="D3" s="30" t="inlineStr">
        <is>
          <t>P = Présent</t>
        </is>
      </c>
      <c r="I3" s="31" t="inlineStr">
        <is>
          <t>R = En retard</t>
        </is>
      </c>
      <c r="N3" s="32" t="inlineStr">
        <is>
          <t>A = Absent</t>
        </is>
      </c>
      <c r="S3" s="33" t="inlineStr">
        <is>
          <t>C = Congé</t>
        </is>
      </c>
      <c r="X3" s="34" t="inlineStr">
        <is>
          <t>M = Malade</t>
        </is>
      </c>
    </row>
    <row r="5" ht="22" customHeight="1">
      <c r="A5" s="35" t="inlineStr">
        <is>
          <t>ID</t>
        </is>
      </c>
      <c r="B5" s="35" t="inlineStr">
        <is>
          <t>Nom</t>
        </is>
      </c>
      <c r="C5" s="35" t="inlineStr">
        <is>
          <t>Poste</t>
        </is>
      </c>
      <c r="D5" s="35">
        <f>IF(MONTH(DATE('Paramètres'!$B$5,3,1))=3,1,"")</f>
        <v/>
      </c>
      <c r="E5" s="35">
        <f>IF(MONTH(DATE('Paramètres'!$B$5,3,2))=3,2,"")</f>
        <v/>
      </c>
      <c r="F5" s="35">
        <f>IF(MONTH(DATE('Paramètres'!$B$5,3,3))=3,3,"")</f>
        <v/>
      </c>
      <c r="G5" s="35">
        <f>IF(MONTH(DATE('Paramètres'!$B$5,3,4))=3,4,"")</f>
        <v/>
      </c>
      <c r="H5" s="35">
        <f>IF(MONTH(DATE('Paramètres'!$B$5,3,5))=3,5,"")</f>
        <v/>
      </c>
      <c r="I5" s="35">
        <f>IF(MONTH(DATE('Paramètres'!$B$5,3,6))=3,6,"")</f>
        <v/>
      </c>
      <c r="J5" s="35">
        <f>IF(MONTH(DATE('Paramètres'!$B$5,3,7))=3,7,"")</f>
        <v/>
      </c>
      <c r="K5" s="35">
        <f>IF(MONTH(DATE('Paramètres'!$B$5,3,8))=3,8,"")</f>
        <v/>
      </c>
      <c r="L5" s="35">
        <f>IF(MONTH(DATE('Paramètres'!$B$5,3,9))=3,9,"")</f>
        <v/>
      </c>
      <c r="M5" s="35">
        <f>IF(MONTH(DATE('Paramètres'!$B$5,3,10))=3,10,"")</f>
        <v/>
      </c>
      <c r="N5" s="35">
        <f>IF(MONTH(DATE('Paramètres'!$B$5,3,11))=3,11,"")</f>
        <v/>
      </c>
      <c r="O5" s="35">
        <f>IF(MONTH(DATE('Paramètres'!$B$5,3,12))=3,12,"")</f>
        <v/>
      </c>
      <c r="P5" s="35">
        <f>IF(MONTH(DATE('Paramètres'!$B$5,3,13))=3,13,"")</f>
        <v/>
      </c>
      <c r="Q5" s="35">
        <f>IF(MONTH(DATE('Paramètres'!$B$5,3,14))=3,14,"")</f>
        <v/>
      </c>
      <c r="R5" s="35">
        <f>IF(MONTH(DATE('Paramètres'!$B$5,3,15))=3,15,"")</f>
        <v/>
      </c>
      <c r="S5" s="35">
        <f>IF(MONTH(DATE('Paramètres'!$B$5,3,16))=3,16,"")</f>
        <v/>
      </c>
      <c r="T5" s="35">
        <f>IF(MONTH(DATE('Paramètres'!$B$5,3,17))=3,17,"")</f>
        <v/>
      </c>
      <c r="U5" s="35">
        <f>IF(MONTH(DATE('Paramètres'!$B$5,3,18))=3,18,"")</f>
        <v/>
      </c>
      <c r="V5" s="35">
        <f>IF(MONTH(DATE('Paramètres'!$B$5,3,19))=3,19,"")</f>
        <v/>
      </c>
      <c r="W5" s="35">
        <f>IF(MONTH(DATE('Paramètres'!$B$5,3,20))=3,20,"")</f>
        <v/>
      </c>
      <c r="X5" s="35">
        <f>IF(MONTH(DATE('Paramètres'!$B$5,3,21))=3,21,"")</f>
        <v/>
      </c>
      <c r="Y5" s="35">
        <f>IF(MONTH(DATE('Paramètres'!$B$5,3,22))=3,22,"")</f>
        <v/>
      </c>
      <c r="Z5" s="35">
        <f>IF(MONTH(DATE('Paramètres'!$B$5,3,23))=3,23,"")</f>
        <v/>
      </c>
      <c r="AA5" s="35">
        <f>IF(MONTH(DATE('Paramètres'!$B$5,3,24))=3,24,"")</f>
        <v/>
      </c>
      <c r="AB5" s="35">
        <f>IF(MONTH(DATE('Paramètres'!$B$5,3,25))=3,25,"")</f>
        <v/>
      </c>
      <c r="AC5" s="35">
        <f>IF(MONTH(DATE('Paramètres'!$B$5,3,26))=3,26,"")</f>
        <v/>
      </c>
      <c r="AD5" s="35">
        <f>IF(MONTH(DATE('Paramètres'!$B$5,3,27))=3,27,"")</f>
        <v/>
      </c>
      <c r="AE5" s="35">
        <f>IF(MONTH(DATE('Paramètres'!$B$5,3,28))=3,28,"")</f>
        <v/>
      </c>
      <c r="AF5" s="35">
        <f>IF(MONTH(DATE('Paramètres'!$B$5,3,29))=3,29,"")</f>
        <v/>
      </c>
      <c r="AG5" s="35">
        <f>IF(MONTH(DATE('Paramètres'!$B$5,3,30))=3,30,"")</f>
        <v/>
      </c>
      <c r="AH5" s="35">
        <f>IF(MONTH(DATE('Paramètres'!$B$5,3,31))=3,31,"")</f>
        <v/>
      </c>
      <c r="AI5" s="36" t="inlineStr">
        <is>
          <t>Présent</t>
        </is>
      </c>
      <c r="AJ5" s="36" t="inlineStr">
        <is>
          <t>Retard</t>
        </is>
      </c>
      <c r="AK5" s="36" t="inlineStr">
        <is>
          <t>Absent</t>
        </is>
      </c>
      <c r="AL5" s="36" t="inlineStr">
        <is>
          <t>Congé</t>
        </is>
      </c>
      <c r="AM5" s="36" t="inlineStr">
        <is>
          <t>Malade</t>
        </is>
      </c>
      <c r="AN5" s="36" t="inlineStr">
        <is>
          <t>Taux de présence</t>
        </is>
      </c>
      <c r="AO5" s="36" t="inlineStr">
        <is>
          <t>Salaire dû</t>
        </is>
      </c>
    </row>
    <row r="6" ht="22" customHeight="1">
      <c r="A6" s="35" t="n"/>
      <c r="B6" s="35" t="n"/>
      <c r="C6" s="35" t="n"/>
      <c r="D6" s="35">
        <f>IF(D5="","",CHOOSE(WEEKDAY(DATE('Paramètres'!$B$5,3,1),2),"Lun","Mar","Mer","Jeu","Ven","Sam","Dim"))</f>
        <v/>
      </c>
      <c r="E6" s="35">
        <f>IF(E5="","",CHOOSE(WEEKDAY(DATE('Paramètres'!$B$5,3,2),2),"Lun","Mar","Mer","Jeu","Ven","Sam","Dim"))</f>
        <v/>
      </c>
      <c r="F6" s="35">
        <f>IF(F5="","",CHOOSE(WEEKDAY(DATE('Paramètres'!$B$5,3,3),2),"Lun","Mar","Mer","Jeu","Ven","Sam","Dim"))</f>
        <v/>
      </c>
      <c r="G6" s="35">
        <f>IF(G5="","",CHOOSE(WEEKDAY(DATE('Paramètres'!$B$5,3,4),2),"Lun","Mar","Mer","Jeu","Ven","Sam","Dim"))</f>
        <v/>
      </c>
      <c r="H6" s="35">
        <f>IF(H5="","",CHOOSE(WEEKDAY(DATE('Paramètres'!$B$5,3,5),2),"Lun","Mar","Mer","Jeu","Ven","Sam","Dim"))</f>
        <v/>
      </c>
      <c r="I6" s="35">
        <f>IF(I5="","",CHOOSE(WEEKDAY(DATE('Paramètres'!$B$5,3,6),2),"Lun","Mar","Mer","Jeu","Ven","Sam","Dim"))</f>
        <v/>
      </c>
      <c r="J6" s="35">
        <f>IF(J5="","",CHOOSE(WEEKDAY(DATE('Paramètres'!$B$5,3,7),2),"Lun","Mar","Mer","Jeu","Ven","Sam","Dim"))</f>
        <v/>
      </c>
      <c r="K6" s="35">
        <f>IF(K5="","",CHOOSE(WEEKDAY(DATE('Paramètres'!$B$5,3,8),2),"Lun","Mar","Mer","Jeu","Ven","Sam","Dim"))</f>
        <v/>
      </c>
      <c r="L6" s="35">
        <f>IF(L5="","",CHOOSE(WEEKDAY(DATE('Paramètres'!$B$5,3,9),2),"Lun","Mar","Mer","Jeu","Ven","Sam","Dim"))</f>
        <v/>
      </c>
      <c r="M6" s="35">
        <f>IF(M5="","",CHOOSE(WEEKDAY(DATE('Paramètres'!$B$5,3,10),2),"Lun","Mar","Mer","Jeu","Ven","Sam","Dim"))</f>
        <v/>
      </c>
      <c r="N6" s="35">
        <f>IF(N5="","",CHOOSE(WEEKDAY(DATE('Paramètres'!$B$5,3,11),2),"Lun","Mar","Mer","Jeu","Ven","Sam","Dim"))</f>
        <v/>
      </c>
      <c r="O6" s="35">
        <f>IF(O5="","",CHOOSE(WEEKDAY(DATE('Paramètres'!$B$5,3,12),2),"Lun","Mar","Mer","Jeu","Ven","Sam","Dim"))</f>
        <v/>
      </c>
      <c r="P6" s="35">
        <f>IF(P5="","",CHOOSE(WEEKDAY(DATE('Paramètres'!$B$5,3,13),2),"Lun","Mar","Mer","Jeu","Ven","Sam","Dim"))</f>
        <v/>
      </c>
      <c r="Q6" s="35">
        <f>IF(Q5="","",CHOOSE(WEEKDAY(DATE('Paramètres'!$B$5,3,14),2),"Lun","Mar","Mer","Jeu","Ven","Sam","Dim"))</f>
        <v/>
      </c>
      <c r="R6" s="35">
        <f>IF(R5="","",CHOOSE(WEEKDAY(DATE('Paramètres'!$B$5,3,15),2),"Lun","Mar","Mer","Jeu","Ven","Sam","Dim"))</f>
        <v/>
      </c>
      <c r="S6" s="35">
        <f>IF(S5="","",CHOOSE(WEEKDAY(DATE('Paramètres'!$B$5,3,16),2),"Lun","Mar","Mer","Jeu","Ven","Sam","Dim"))</f>
        <v/>
      </c>
      <c r="T6" s="35">
        <f>IF(T5="","",CHOOSE(WEEKDAY(DATE('Paramètres'!$B$5,3,17),2),"Lun","Mar","Mer","Jeu","Ven","Sam","Dim"))</f>
        <v/>
      </c>
      <c r="U6" s="35">
        <f>IF(U5="","",CHOOSE(WEEKDAY(DATE('Paramètres'!$B$5,3,18),2),"Lun","Mar","Mer","Jeu","Ven","Sam","Dim"))</f>
        <v/>
      </c>
      <c r="V6" s="35">
        <f>IF(V5="","",CHOOSE(WEEKDAY(DATE('Paramètres'!$B$5,3,19),2),"Lun","Mar","Mer","Jeu","Ven","Sam","Dim"))</f>
        <v/>
      </c>
      <c r="W6" s="35">
        <f>IF(W5="","",CHOOSE(WEEKDAY(DATE('Paramètres'!$B$5,3,20),2),"Lun","Mar","Mer","Jeu","Ven","Sam","Dim"))</f>
        <v/>
      </c>
      <c r="X6" s="35">
        <f>IF(X5="","",CHOOSE(WEEKDAY(DATE('Paramètres'!$B$5,3,21),2),"Lun","Mar","Mer","Jeu","Ven","Sam","Dim"))</f>
        <v/>
      </c>
      <c r="Y6" s="35">
        <f>IF(Y5="","",CHOOSE(WEEKDAY(DATE('Paramètres'!$B$5,3,22),2),"Lun","Mar","Mer","Jeu","Ven","Sam","Dim"))</f>
        <v/>
      </c>
      <c r="Z6" s="35">
        <f>IF(Z5="","",CHOOSE(WEEKDAY(DATE('Paramètres'!$B$5,3,23),2),"Lun","Mar","Mer","Jeu","Ven","Sam","Dim"))</f>
        <v/>
      </c>
      <c r="AA6" s="35">
        <f>IF(AA5="","",CHOOSE(WEEKDAY(DATE('Paramètres'!$B$5,3,24),2),"Lun","Mar","Mer","Jeu","Ven","Sam","Dim"))</f>
        <v/>
      </c>
      <c r="AB6" s="35">
        <f>IF(AB5="","",CHOOSE(WEEKDAY(DATE('Paramètres'!$B$5,3,25),2),"Lun","Mar","Mer","Jeu","Ven","Sam","Dim"))</f>
        <v/>
      </c>
      <c r="AC6" s="35">
        <f>IF(AC5="","",CHOOSE(WEEKDAY(DATE('Paramètres'!$B$5,3,26),2),"Lun","Mar","Mer","Jeu","Ven","Sam","Dim"))</f>
        <v/>
      </c>
      <c r="AD6" s="35">
        <f>IF(AD5="","",CHOOSE(WEEKDAY(DATE('Paramètres'!$B$5,3,27),2),"Lun","Mar","Mer","Jeu","Ven","Sam","Dim"))</f>
        <v/>
      </c>
      <c r="AE6" s="35">
        <f>IF(AE5="","",CHOOSE(WEEKDAY(DATE('Paramètres'!$B$5,3,28),2),"Lun","Mar","Mer","Jeu","Ven","Sam","Dim"))</f>
        <v/>
      </c>
      <c r="AF6" s="35">
        <f>IF(AF5="","",CHOOSE(WEEKDAY(DATE('Paramètres'!$B$5,3,29),2),"Lun","Mar","Mer","Jeu","Ven","Sam","Dim"))</f>
        <v/>
      </c>
      <c r="AG6" s="35">
        <f>IF(AG5="","",CHOOSE(WEEKDAY(DATE('Paramètres'!$B$5,3,30),2),"Lun","Mar","Mer","Jeu","Ven","Sam","Dim"))</f>
        <v/>
      </c>
      <c r="AH6" s="35">
        <f>IF(AH5="","",CHOOSE(WEEKDAY(DATE('Paramètres'!$B$5,3,31),2),"Lun","Mar","Mer","Jeu","Ven","Sam","Dim"))</f>
        <v/>
      </c>
      <c r="AI6" s="36" t="n"/>
      <c r="AJ6" s="36" t="n"/>
      <c r="AK6" s="36" t="n"/>
      <c r="AL6" s="36" t="n"/>
      <c r="AM6" s="36" t="n"/>
      <c r="AN6" s="36" t="n"/>
      <c r="AO6" s="36" t="n"/>
    </row>
    <row r="7" ht="20" customHeight="1">
      <c r="A7" s="37">
        <f>IF('Employés'!B5="","",'Employés'!A5)</f>
        <v/>
      </c>
      <c r="B7" s="38">
        <f>IF('Employés'!B5="","",'Employés'!B5)</f>
        <v/>
      </c>
      <c r="C7" s="38">
        <f>IF('Employés'!C5="","",'Employés'!C5)</f>
        <v/>
      </c>
      <c r="D7" s="37" t="n"/>
      <c r="E7" s="37" t="n"/>
      <c r="F7" s="37" t="n"/>
      <c r="G7" s="37" t="n"/>
      <c r="H7" s="37" t="n"/>
      <c r="I7" s="37" t="n"/>
      <c r="J7" s="37" t="n"/>
      <c r="K7" s="37" t="n"/>
      <c r="L7" s="37" t="n"/>
      <c r="M7" s="37" t="n"/>
      <c r="N7" s="37" t="n"/>
      <c r="O7" s="37" t="n"/>
      <c r="P7" s="37" t="n"/>
      <c r="Q7" s="37" t="n"/>
      <c r="R7" s="37" t="n"/>
      <c r="S7" s="37" t="n"/>
      <c r="T7" s="37" t="n"/>
      <c r="U7" s="37" t="n"/>
      <c r="V7" s="37" t="n"/>
      <c r="W7" s="37" t="n"/>
      <c r="X7" s="37" t="n"/>
      <c r="Y7" s="37" t="n"/>
      <c r="Z7" s="37" t="n"/>
      <c r="AA7" s="37" t="n"/>
      <c r="AB7" s="37" t="n"/>
      <c r="AC7" s="37" t="n"/>
      <c r="AD7" s="37" t="n"/>
      <c r="AE7" s="37" t="n"/>
      <c r="AF7" s="37" t="n"/>
      <c r="AG7" s="37" t="n"/>
      <c r="AH7" s="37" t="n"/>
      <c r="AI7" s="39">
        <f>IF($B7="","",COUNTIF(D7:AH7,"P"))</f>
        <v/>
      </c>
      <c r="AJ7" s="39">
        <f>IF($B7="","",COUNTIF(D7:AH7,"R"))</f>
        <v/>
      </c>
      <c r="AK7" s="39">
        <f>IF($B7="","",COUNTIF(D7:AH7,"A"))</f>
        <v/>
      </c>
      <c r="AL7" s="39">
        <f>IF($B7="","",COUNTIF(D7:AH7,"C"))</f>
        <v/>
      </c>
      <c r="AM7" s="39">
        <f>IF($B7="","",COUNTIF(D7:AH7,"M"))</f>
        <v/>
      </c>
      <c r="AN7" s="40">
        <f>IF($B7="","",IF(AI7+AJ7+AK7+AM7=0,"",(AI7+AJ7)/(AI7+AJ7+AK7+AM7)))</f>
        <v/>
      </c>
      <c r="AO7" s="41">
        <f>IF($B7="","",IF('Employés'!D5="","",(AI7+AJ7+AL7)*'Employés'!D5))</f>
        <v/>
      </c>
    </row>
    <row r="8" ht="20" customHeight="1">
      <c r="A8" s="37">
        <f>IF('Employés'!B6="","",'Employés'!A6)</f>
        <v/>
      </c>
      <c r="B8" s="38">
        <f>IF('Employés'!B6="","",'Employés'!B6)</f>
        <v/>
      </c>
      <c r="C8" s="38">
        <f>IF('Employés'!C6="","",'Employés'!C6)</f>
        <v/>
      </c>
      <c r="D8" s="37" t="n"/>
      <c r="E8" s="37" t="n"/>
      <c r="F8" s="37" t="n"/>
      <c r="G8" s="37" t="n"/>
      <c r="H8" s="37" t="n"/>
      <c r="I8" s="37" t="n"/>
      <c r="J8" s="37" t="n"/>
      <c r="K8" s="37" t="n"/>
      <c r="L8" s="37" t="n"/>
      <c r="M8" s="37" t="n"/>
      <c r="N8" s="37" t="n"/>
      <c r="O8" s="37" t="n"/>
      <c r="P8" s="37" t="n"/>
      <c r="Q8" s="37" t="n"/>
      <c r="R8" s="37" t="n"/>
      <c r="S8" s="37" t="n"/>
      <c r="T8" s="37" t="n"/>
      <c r="U8" s="37" t="n"/>
      <c r="V8" s="37" t="n"/>
      <c r="W8" s="37" t="n"/>
      <c r="X8" s="37" t="n"/>
      <c r="Y8" s="37" t="n"/>
      <c r="Z8" s="37" t="n"/>
      <c r="AA8" s="37" t="n"/>
      <c r="AB8" s="37" t="n"/>
      <c r="AC8" s="37" t="n"/>
      <c r="AD8" s="37" t="n"/>
      <c r="AE8" s="37" t="n"/>
      <c r="AF8" s="37" t="n"/>
      <c r="AG8" s="37" t="n"/>
      <c r="AH8" s="37" t="n"/>
      <c r="AI8" s="39">
        <f>IF($B8="","",COUNTIF(D8:AH8,"P"))</f>
        <v/>
      </c>
      <c r="AJ8" s="39">
        <f>IF($B8="","",COUNTIF(D8:AH8,"R"))</f>
        <v/>
      </c>
      <c r="AK8" s="39">
        <f>IF($B8="","",COUNTIF(D8:AH8,"A"))</f>
        <v/>
      </c>
      <c r="AL8" s="39">
        <f>IF($B8="","",COUNTIF(D8:AH8,"C"))</f>
        <v/>
      </c>
      <c r="AM8" s="39">
        <f>IF($B8="","",COUNTIF(D8:AH8,"M"))</f>
        <v/>
      </c>
      <c r="AN8" s="40">
        <f>IF($B8="","",IF(AI8+AJ8+AK8+AM8=0,"",(AI8+AJ8)/(AI8+AJ8+AK8+AM8)))</f>
        <v/>
      </c>
      <c r="AO8" s="41">
        <f>IF($B8="","",IF('Employés'!D6="","",(AI8+AJ8+AL8)*'Employés'!D6))</f>
        <v/>
      </c>
    </row>
    <row r="9" ht="20" customHeight="1">
      <c r="A9" s="37">
        <f>IF('Employés'!B7="","",'Employés'!A7)</f>
        <v/>
      </c>
      <c r="B9" s="38">
        <f>IF('Employés'!B7="","",'Employés'!B7)</f>
        <v/>
      </c>
      <c r="C9" s="38">
        <f>IF('Employés'!C7="","",'Employés'!C7)</f>
        <v/>
      </c>
      <c r="D9" s="37" t="n"/>
      <c r="E9" s="37" t="n"/>
      <c r="F9" s="37" t="n"/>
      <c r="G9" s="37" t="n"/>
      <c r="H9" s="37" t="n"/>
      <c r="I9" s="37" t="n"/>
      <c r="J9" s="37" t="n"/>
      <c r="K9" s="37" t="n"/>
      <c r="L9" s="37" t="n"/>
      <c r="M9" s="37" t="n"/>
      <c r="N9" s="37" t="n"/>
      <c r="O9" s="37" t="n"/>
      <c r="P9" s="37" t="n"/>
      <c r="Q9" s="37" t="n"/>
      <c r="R9" s="37" t="n"/>
      <c r="S9" s="37" t="n"/>
      <c r="T9" s="37" t="n"/>
      <c r="U9" s="37" t="n"/>
      <c r="V9" s="37" t="n"/>
      <c r="W9" s="37" t="n"/>
      <c r="X9" s="37" t="n"/>
      <c r="Y9" s="37" t="n"/>
      <c r="Z9" s="37" t="n"/>
      <c r="AA9" s="37" t="n"/>
      <c r="AB9" s="37" t="n"/>
      <c r="AC9" s="37" t="n"/>
      <c r="AD9" s="37" t="n"/>
      <c r="AE9" s="37" t="n"/>
      <c r="AF9" s="37" t="n"/>
      <c r="AG9" s="37" t="n"/>
      <c r="AH9" s="37" t="n"/>
      <c r="AI9" s="39">
        <f>IF($B9="","",COUNTIF(D9:AH9,"P"))</f>
        <v/>
      </c>
      <c r="AJ9" s="39">
        <f>IF($B9="","",COUNTIF(D9:AH9,"R"))</f>
        <v/>
      </c>
      <c r="AK9" s="39">
        <f>IF($B9="","",COUNTIF(D9:AH9,"A"))</f>
        <v/>
      </c>
      <c r="AL9" s="39">
        <f>IF($B9="","",COUNTIF(D9:AH9,"C"))</f>
        <v/>
      </c>
      <c r="AM9" s="39">
        <f>IF($B9="","",COUNTIF(D9:AH9,"M"))</f>
        <v/>
      </c>
      <c r="AN9" s="40">
        <f>IF($B9="","",IF(AI9+AJ9+AK9+AM9=0,"",(AI9+AJ9)/(AI9+AJ9+AK9+AM9)))</f>
        <v/>
      </c>
      <c r="AO9" s="41">
        <f>IF($B9="","",IF('Employés'!D7="","",(AI9+AJ9+AL9)*'Employés'!D7))</f>
        <v/>
      </c>
    </row>
    <row r="10" ht="20" customHeight="1">
      <c r="A10" s="37">
        <f>IF('Employés'!B8="","",'Employés'!A8)</f>
        <v/>
      </c>
      <c r="B10" s="38">
        <f>IF('Employés'!B8="","",'Employés'!B8)</f>
        <v/>
      </c>
      <c r="C10" s="38">
        <f>IF('Employés'!C8="","",'Employés'!C8)</f>
        <v/>
      </c>
      <c r="D10" s="37" t="n"/>
      <c r="E10" s="37" t="n"/>
      <c r="F10" s="37" t="n"/>
      <c r="G10" s="37" t="n"/>
      <c r="H10" s="37" t="n"/>
      <c r="I10" s="37" t="n"/>
      <c r="J10" s="37" t="n"/>
      <c r="K10" s="37" t="n"/>
      <c r="L10" s="37" t="n"/>
      <c r="M10" s="37" t="n"/>
      <c r="N10" s="37" t="n"/>
      <c r="O10" s="37" t="n"/>
      <c r="P10" s="37" t="n"/>
      <c r="Q10" s="37" t="n"/>
      <c r="R10" s="37" t="n"/>
      <c r="S10" s="37" t="n"/>
      <c r="T10" s="37" t="n"/>
      <c r="U10" s="37" t="n"/>
      <c r="V10" s="37" t="n"/>
      <c r="W10" s="37" t="n"/>
      <c r="X10" s="37" t="n"/>
      <c r="Y10" s="37" t="n"/>
      <c r="Z10" s="37" t="n"/>
      <c r="AA10" s="37" t="n"/>
      <c r="AB10" s="37" t="n"/>
      <c r="AC10" s="37" t="n"/>
      <c r="AD10" s="37" t="n"/>
      <c r="AE10" s="37" t="n"/>
      <c r="AF10" s="37" t="n"/>
      <c r="AG10" s="37" t="n"/>
      <c r="AH10" s="37" t="n"/>
      <c r="AI10" s="39">
        <f>IF($B10="","",COUNTIF(D10:AH10,"P"))</f>
        <v/>
      </c>
      <c r="AJ10" s="39">
        <f>IF($B10="","",COUNTIF(D10:AH10,"R"))</f>
        <v/>
      </c>
      <c r="AK10" s="39">
        <f>IF($B10="","",COUNTIF(D10:AH10,"A"))</f>
        <v/>
      </c>
      <c r="AL10" s="39">
        <f>IF($B10="","",COUNTIF(D10:AH10,"C"))</f>
        <v/>
      </c>
      <c r="AM10" s="39">
        <f>IF($B10="","",COUNTIF(D10:AH10,"M"))</f>
        <v/>
      </c>
      <c r="AN10" s="40">
        <f>IF($B10="","",IF(AI10+AJ10+AK10+AM10=0,"",(AI10+AJ10)/(AI10+AJ10+AK10+AM10)))</f>
        <v/>
      </c>
      <c r="AO10" s="41">
        <f>IF($B10="","",IF('Employés'!D8="","",(AI10+AJ10+AL10)*'Employés'!D8))</f>
        <v/>
      </c>
    </row>
    <row r="11" ht="20" customHeight="1">
      <c r="A11" s="37">
        <f>IF('Employés'!B9="","",'Employés'!A9)</f>
        <v/>
      </c>
      <c r="B11" s="38">
        <f>IF('Employés'!B9="","",'Employés'!B9)</f>
        <v/>
      </c>
      <c r="C11" s="38">
        <f>IF('Employés'!C9="","",'Employés'!C9)</f>
        <v/>
      </c>
      <c r="D11" s="37" t="n"/>
      <c r="E11" s="37" t="n"/>
      <c r="F11" s="37" t="n"/>
      <c r="G11" s="37" t="n"/>
      <c r="H11" s="37" t="n"/>
      <c r="I11" s="37" t="n"/>
      <c r="J11" s="37" t="n"/>
      <c r="K11" s="37" t="n"/>
      <c r="L11" s="37" t="n"/>
      <c r="M11" s="37" t="n"/>
      <c r="N11" s="37" t="n"/>
      <c r="O11" s="37" t="n"/>
      <c r="P11" s="37" t="n"/>
      <c r="Q11" s="37" t="n"/>
      <c r="R11" s="37" t="n"/>
      <c r="S11" s="37" t="n"/>
      <c r="T11" s="37" t="n"/>
      <c r="U11" s="37" t="n"/>
      <c r="V11" s="37" t="n"/>
      <c r="W11" s="37" t="n"/>
      <c r="X11" s="37" t="n"/>
      <c r="Y11" s="37" t="n"/>
      <c r="Z11" s="37" t="n"/>
      <c r="AA11" s="37" t="n"/>
      <c r="AB11" s="37" t="n"/>
      <c r="AC11" s="37" t="n"/>
      <c r="AD11" s="37" t="n"/>
      <c r="AE11" s="37" t="n"/>
      <c r="AF11" s="37" t="n"/>
      <c r="AG11" s="37" t="n"/>
      <c r="AH11" s="37" t="n"/>
      <c r="AI11" s="39">
        <f>IF($B11="","",COUNTIF(D11:AH11,"P"))</f>
        <v/>
      </c>
      <c r="AJ11" s="39">
        <f>IF($B11="","",COUNTIF(D11:AH11,"R"))</f>
        <v/>
      </c>
      <c r="AK11" s="39">
        <f>IF($B11="","",COUNTIF(D11:AH11,"A"))</f>
        <v/>
      </c>
      <c r="AL11" s="39">
        <f>IF($B11="","",COUNTIF(D11:AH11,"C"))</f>
        <v/>
      </c>
      <c r="AM11" s="39">
        <f>IF($B11="","",COUNTIF(D11:AH11,"M"))</f>
        <v/>
      </c>
      <c r="AN11" s="40">
        <f>IF($B11="","",IF(AI11+AJ11+AK11+AM11=0,"",(AI11+AJ11)/(AI11+AJ11+AK11+AM11)))</f>
        <v/>
      </c>
      <c r="AO11" s="41">
        <f>IF($B11="","",IF('Employés'!D9="","",(AI11+AJ11+AL11)*'Employés'!D9))</f>
        <v/>
      </c>
    </row>
    <row r="12" ht="20" customHeight="1">
      <c r="A12" s="37">
        <f>IF('Employés'!B10="","",'Employés'!A10)</f>
        <v/>
      </c>
      <c r="B12" s="38">
        <f>IF('Employés'!B10="","",'Employés'!B10)</f>
        <v/>
      </c>
      <c r="C12" s="38">
        <f>IF('Employés'!C10="","",'Employés'!C10)</f>
        <v/>
      </c>
      <c r="D12" s="37" t="n"/>
      <c r="E12" s="37" t="n"/>
      <c r="F12" s="37" t="n"/>
      <c r="G12" s="37" t="n"/>
      <c r="H12" s="37" t="n"/>
      <c r="I12" s="37" t="n"/>
      <c r="J12" s="37" t="n"/>
      <c r="K12" s="37" t="n"/>
      <c r="L12" s="37" t="n"/>
      <c r="M12" s="37" t="n"/>
      <c r="N12" s="37" t="n"/>
      <c r="O12" s="37" t="n"/>
      <c r="P12" s="37" t="n"/>
      <c r="Q12" s="37" t="n"/>
      <c r="R12" s="37" t="n"/>
      <c r="S12" s="37" t="n"/>
      <c r="T12" s="37" t="n"/>
      <c r="U12" s="37" t="n"/>
      <c r="V12" s="37" t="n"/>
      <c r="W12" s="37" t="n"/>
      <c r="X12" s="37" t="n"/>
      <c r="Y12" s="37" t="n"/>
      <c r="Z12" s="37" t="n"/>
      <c r="AA12" s="37" t="n"/>
      <c r="AB12" s="37" t="n"/>
      <c r="AC12" s="37" t="n"/>
      <c r="AD12" s="37" t="n"/>
      <c r="AE12" s="37" t="n"/>
      <c r="AF12" s="37" t="n"/>
      <c r="AG12" s="37" t="n"/>
      <c r="AH12" s="37" t="n"/>
      <c r="AI12" s="39">
        <f>IF($B12="","",COUNTIF(D12:AH12,"P"))</f>
        <v/>
      </c>
      <c r="AJ12" s="39">
        <f>IF($B12="","",COUNTIF(D12:AH12,"R"))</f>
        <v/>
      </c>
      <c r="AK12" s="39">
        <f>IF($B12="","",COUNTIF(D12:AH12,"A"))</f>
        <v/>
      </c>
      <c r="AL12" s="39">
        <f>IF($B12="","",COUNTIF(D12:AH12,"C"))</f>
        <v/>
      </c>
      <c r="AM12" s="39">
        <f>IF($B12="","",COUNTIF(D12:AH12,"M"))</f>
        <v/>
      </c>
      <c r="AN12" s="40">
        <f>IF($B12="","",IF(AI12+AJ12+AK12+AM12=0,"",(AI12+AJ12)/(AI12+AJ12+AK12+AM12)))</f>
        <v/>
      </c>
      <c r="AO12" s="41">
        <f>IF($B12="","",IF('Employés'!D10="","",(AI12+AJ12+AL12)*'Employés'!D10))</f>
        <v/>
      </c>
    </row>
    <row r="13" ht="20" customHeight="1">
      <c r="A13" s="37">
        <f>IF('Employés'!B11="","",'Employés'!A11)</f>
        <v/>
      </c>
      <c r="B13" s="38">
        <f>IF('Employés'!B11="","",'Employés'!B11)</f>
        <v/>
      </c>
      <c r="C13" s="38">
        <f>IF('Employés'!C11="","",'Employés'!C11)</f>
        <v/>
      </c>
      <c r="D13" s="37" t="n"/>
      <c r="E13" s="37" t="n"/>
      <c r="F13" s="37" t="n"/>
      <c r="G13" s="37" t="n"/>
      <c r="H13" s="37" t="n"/>
      <c r="I13" s="37" t="n"/>
      <c r="J13" s="37" t="n"/>
      <c r="K13" s="37" t="n"/>
      <c r="L13" s="37" t="n"/>
      <c r="M13" s="37" t="n"/>
      <c r="N13" s="37" t="n"/>
      <c r="O13" s="37" t="n"/>
      <c r="P13" s="37" t="n"/>
      <c r="Q13" s="37" t="n"/>
      <c r="R13" s="37" t="n"/>
      <c r="S13" s="37" t="n"/>
      <c r="T13" s="37" t="n"/>
      <c r="U13" s="37" t="n"/>
      <c r="V13" s="37" t="n"/>
      <c r="W13" s="37" t="n"/>
      <c r="X13" s="37" t="n"/>
      <c r="Y13" s="37" t="n"/>
      <c r="Z13" s="37" t="n"/>
      <c r="AA13" s="37" t="n"/>
      <c r="AB13" s="37" t="n"/>
      <c r="AC13" s="37" t="n"/>
      <c r="AD13" s="37" t="n"/>
      <c r="AE13" s="37" t="n"/>
      <c r="AF13" s="37" t="n"/>
      <c r="AG13" s="37" t="n"/>
      <c r="AH13" s="37" t="n"/>
      <c r="AI13" s="39">
        <f>IF($B13="","",COUNTIF(D13:AH13,"P"))</f>
        <v/>
      </c>
      <c r="AJ13" s="39">
        <f>IF($B13="","",COUNTIF(D13:AH13,"R"))</f>
        <v/>
      </c>
      <c r="AK13" s="39">
        <f>IF($B13="","",COUNTIF(D13:AH13,"A"))</f>
        <v/>
      </c>
      <c r="AL13" s="39">
        <f>IF($B13="","",COUNTIF(D13:AH13,"C"))</f>
        <v/>
      </c>
      <c r="AM13" s="39">
        <f>IF($B13="","",COUNTIF(D13:AH13,"M"))</f>
        <v/>
      </c>
      <c r="AN13" s="40">
        <f>IF($B13="","",IF(AI13+AJ13+AK13+AM13=0,"",(AI13+AJ13)/(AI13+AJ13+AK13+AM13)))</f>
        <v/>
      </c>
      <c r="AO13" s="41">
        <f>IF($B13="","",IF('Employés'!D11="","",(AI13+AJ13+AL13)*'Employés'!D11))</f>
        <v/>
      </c>
    </row>
    <row r="14" ht="20" customHeight="1">
      <c r="A14" s="37">
        <f>IF('Employés'!B12="","",'Employés'!A12)</f>
        <v/>
      </c>
      <c r="B14" s="38">
        <f>IF('Employés'!B12="","",'Employés'!B12)</f>
        <v/>
      </c>
      <c r="C14" s="38">
        <f>IF('Employés'!C12="","",'Employés'!C12)</f>
        <v/>
      </c>
      <c r="D14" s="37" t="n"/>
      <c r="E14" s="37" t="n"/>
      <c r="F14" s="37" t="n"/>
      <c r="G14" s="37" t="n"/>
      <c r="H14" s="37" t="n"/>
      <c r="I14" s="37" t="n"/>
      <c r="J14" s="37" t="n"/>
      <c r="K14" s="37" t="n"/>
      <c r="L14" s="37" t="n"/>
      <c r="M14" s="37" t="n"/>
      <c r="N14" s="37" t="n"/>
      <c r="O14" s="37" t="n"/>
      <c r="P14" s="37" t="n"/>
      <c r="Q14" s="37" t="n"/>
      <c r="R14" s="37" t="n"/>
      <c r="S14" s="37" t="n"/>
      <c r="T14" s="37" t="n"/>
      <c r="U14" s="37" t="n"/>
      <c r="V14" s="37" t="n"/>
      <c r="W14" s="37" t="n"/>
      <c r="X14" s="37" t="n"/>
      <c r="Y14" s="37" t="n"/>
      <c r="Z14" s="37" t="n"/>
      <c r="AA14" s="37" t="n"/>
      <c r="AB14" s="37" t="n"/>
      <c r="AC14" s="37" t="n"/>
      <c r="AD14" s="37" t="n"/>
      <c r="AE14" s="37" t="n"/>
      <c r="AF14" s="37" t="n"/>
      <c r="AG14" s="37" t="n"/>
      <c r="AH14" s="37" t="n"/>
      <c r="AI14" s="39">
        <f>IF($B14="","",COUNTIF(D14:AH14,"P"))</f>
        <v/>
      </c>
      <c r="AJ14" s="39">
        <f>IF($B14="","",COUNTIF(D14:AH14,"R"))</f>
        <v/>
      </c>
      <c r="AK14" s="39">
        <f>IF($B14="","",COUNTIF(D14:AH14,"A"))</f>
        <v/>
      </c>
      <c r="AL14" s="39">
        <f>IF($B14="","",COUNTIF(D14:AH14,"C"))</f>
        <v/>
      </c>
      <c r="AM14" s="39">
        <f>IF($B14="","",COUNTIF(D14:AH14,"M"))</f>
        <v/>
      </c>
      <c r="AN14" s="40">
        <f>IF($B14="","",IF(AI14+AJ14+AK14+AM14=0,"",(AI14+AJ14)/(AI14+AJ14+AK14+AM14)))</f>
        <v/>
      </c>
      <c r="AO14" s="41">
        <f>IF($B14="","",IF('Employés'!D12="","",(AI14+AJ14+AL14)*'Employés'!D12))</f>
        <v/>
      </c>
    </row>
    <row r="15" ht="20" customHeight="1">
      <c r="A15" s="37">
        <f>IF('Employés'!B13="","",'Employés'!A13)</f>
        <v/>
      </c>
      <c r="B15" s="38">
        <f>IF('Employés'!B13="","",'Employés'!B13)</f>
        <v/>
      </c>
      <c r="C15" s="38">
        <f>IF('Employés'!C13="","",'Employés'!C13)</f>
        <v/>
      </c>
      <c r="D15" s="37" t="n"/>
      <c r="E15" s="37" t="n"/>
      <c r="F15" s="37" t="n"/>
      <c r="G15" s="37" t="n"/>
      <c r="H15" s="37" t="n"/>
      <c r="I15" s="37" t="n"/>
      <c r="J15" s="37" t="n"/>
      <c r="K15" s="37" t="n"/>
      <c r="L15" s="37" t="n"/>
      <c r="M15" s="37" t="n"/>
      <c r="N15" s="37" t="n"/>
      <c r="O15" s="37" t="n"/>
      <c r="P15" s="37" t="n"/>
      <c r="Q15" s="37" t="n"/>
      <c r="R15" s="37" t="n"/>
      <c r="S15" s="37" t="n"/>
      <c r="T15" s="37" t="n"/>
      <c r="U15" s="37" t="n"/>
      <c r="V15" s="37" t="n"/>
      <c r="W15" s="37" t="n"/>
      <c r="X15" s="37" t="n"/>
      <c r="Y15" s="37" t="n"/>
      <c r="Z15" s="37" t="n"/>
      <c r="AA15" s="37" t="n"/>
      <c r="AB15" s="37" t="n"/>
      <c r="AC15" s="37" t="n"/>
      <c r="AD15" s="37" t="n"/>
      <c r="AE15" s="37" t="n"/>
      <c r="AF15" s="37" t="n"/>
      <c r="AG15" s="37" t="n"/>
      <c r="AH15" s="37" t="n"/>
      <c r="AI15" s="39">
        <f>IF($B15="","",COUNTIF(D15:AH15,"P"))</f>
        <v/>
      </c>
      <c r="AJ15" s="39">
        <f>IF($B15="","",COUNTIF(D15:AH15,"R"))</f>
        <v/>
      </c>
      <c r="AK15" s="39">
        <f>IF($B15="","",COUNTIF(D15:AH15,"A"))</f>
        <v/>
      </c>
      <c r="AL15" s="39">
        <f>IF($B15="","",COUNTIF(D15:AH15,"C"))</f>
        <v/>
      </c>
      <c r="AM15" s="39">
        <f>IF($B15="","",COUNTIF(D15:AH15,"M"))</f>
        <v/>
      </c>
      <c r="AN15" s="40">
        <f>IF($B15="","",IF(AI15+AJ15+AK15+AM15=0,"",(AI15+AJ15)/(AI15+AJ15+AK15+AM15)))</f>
        <v/>
      </c>
      <c r="AO15" s="41">
        <f>IF($B15="","",IF('Employés'!D13="","",(AI15+AJ15+AL15)*'Employés'!D13))</f>
        <v/>
      </c>
    </row>
    <row r="16" ht="20" customHeight="1">
      <c r="A16" s="37">
        <f>IF('Employés'!B14="","",'Employés'!A14)</f>
        <v/>
      </c>
      <c r="B16" s="38">
        <f>IF('Employés'!B14="","",'Employés'!B14)</f>
        <v/>
      </c>
      <c r="C16" s="38">
        <f>IF('Employés'!C14="","",'Employés'!C14)</f>
        <v/>
      </c>
      <c r="D16" s="37" t="n"/>
      <c r="E16" s="37" t="n"/>
      <c r="F16" s="37" t="n"/>
      <c r="G16" s="37" t="n"/>
      <c r="H16" s="37" t="n"/>
      <c r="I16" s="37" t="n"/>
      <c r="J16" s="37" t="n"/>
      <c r="K16" s="37" t="n"/>
      <c r="L16" s="37" t="n"/>
      <c r="M16" s="37" t="n"/>
      <c r="N16" s="37" t="n"/>
      <c r="O16" s="37" t="n"/>
      <c r="P16" s="37" t="n"/>
      <c r="Q16" s="37" t="n"/>
      <c r="R16" s="37" t="n"/>
      <c r="S16" s="37" t="n"/>
      <c r="T16" s="37" t="n"/>
      <c r="U16" s="37" t="n"/>
      <c r="V16" s="37" t="n"/>
      <c r="W16" s="37" t="n"/>
      <c r="X16" s="37" t="n"/>
      <c r="Y16" s="37" t="n"/>
      <c r="Z16" s="37" t="n"/>
      <c r="AA16" s="37" t="n"/>
      <c r="AB16" s="37" t="n"/>
      <c r="AC16" s="37" t="n"/>
      <c r="AD16" s="37" t="n"/>
      <c r="AE16" s="37" t="n"/>
      <c r="AF16" s="37" t="n"/>
      <c r="AG16" s="37" t="n"/>
      <c r="AH16" s="37" t="n"/>
      <c r="AI16" s="39">
        <f>IF($B16="","",COUNTIF(D16:AH16,"P"))</f>
        <v/>
      </c>
      <c r="AJ16" s="39">
        <f>IF($B16="","",COUNTIF(D16:AH16,"R"))</f>
        <v/>
      </c>
      <c r="AK16" s="39">
        <f>IF($B16="","",COUNTIF(D16:AH16,"A"))</f>
        <v/>
      </c>
      <c r="AL16" s="39">
        <f>IF($B16="","",COUNTIF(D16:AH16,"C"))</f>
        <v/>
      </c>
      <c r="AM16" s="39">
        <f>IF($B16="","",COUNTIF(D16:AH16,"M"))</f>
        <v/>
      </c>
      <c r="AN16" s="40">
        <f>IF($B16="","",IF(AI16+AJ16+AK16+AM16=0,"",(AI16+AJ16)/(AI16+AJ16+AK16+AM16)))</f>
        <v/>
      </c>
      <c r="AO16" s="41">
        <f>IF($B16="","",IF('Employés'!D14="","",(AI16+AJ16+AL16)*'Employés'!D14))</f>
        <v/>
      </c>
    </row>
    <row r="17" ht="20" customHeight="1">
      <c r="A17" s="37">
        <f>IF('Employés'!B15="","",'Employés'!A15)</f>
        <v/>
      </c>
      <c r="B17" s="38">
        <f>IF('Employés'!B15="","",'Employés'!B15)</f>
        <v/>
      </c>
      <c r="C17" s="38">
        <f>IF('Employés'!C15="","",'Employés'!C15)</f>
        <v/>
      </c>
      <c r="D17" s="37" t="n"/>
      <c r="E17" s="37" t="n"/>
      <c r="F17" s="37" t="n"/>
      <c r="G17" s="37" t="n"/>
      <c r="H17" s="37" t="n"/>
      <c r="I17" s="37" t="n"/>
      <c r="J17" s="37" t="n"/>
      <c r="K17" s="37" t="n"/>
      <c r="L17" s="37" t="n"/>
      <c r="M17" s="37" t="n"/>
      <c r="N17" s="37" t="n"/>
      <c r="O17" s="37" t="n"/>
      <c r="P17" s="37" t="n"/>
      <c r="Q17" s="37" t="n"/>
      <c r="R17" s="37" t="n"/>
      <c r="S17" s="37" t="n"/>
      <c r="T17" s="37" t="n"/>
      <c r="U17" s="37" t="n"/>
      <c r="V17" s="37" t="n"/>
      <c r="W17" s="37" t="n"/>
      <c r="X17" s="37" t="n"/>
      <c r="Y17" s="37" t="n"/>
      <c r="Z17" s="37" t="n"/>
      <c r="AA17" s="37" t="n"/>
      <c r="AB17" s="37" t="n"/>
      <c r="AC17" s="37" t="n"/>
      <c r="AD17" s="37" t="n"/>
      <c r="AE17" s="37" t="n"/>
      <c r="AF17" s="37" t="n"/>
      <c r="AG17" s="37" t="n"/>
      <c r="AH17" s="37" t="n"/>
      <c r="AI17" s="39">
        <f>IF($B17="","",COUNTIF(D17:AH17,"P"))</f>
        <v/>
      </c>
      <c r="AJ17" s="39">
        <f>IF($B17="","",COUNTIF(D17:AH17,"R"))</f>
        <v/>
      </c>
      <c r="AK17" s="39">
        <f>IF($B17="","",COUNTIF(D17:AH17,"A"))</f>
        <v/>
      </c>
      <c r="AL17" s="39">
        <f>IF($B17="","",COUNTIF(D17:AH17,"C"))</f>
        <v/>
      </c>
      <c r="AM17" s="39">
        <f>IF($B17="","",COUNTIF(D17:AH17,"M"))</f>
        <v/>
      </c>
      <c r="AN17" s="40">
        <f>IF($B17="","",IF(AI17+AJ17+AK17+AM17=0,"",(AI17+AJ17)/(AI17+AJ17+AK17+AM17)))</f>
        <v/>
      </c>
      <c r="AO17" s="41">
        <f>IF($B17="","",IF('Employés'!D15="","",(AI17+AJ17+AL17)*'Employés'!D15))</f>
        <v/>
      </c>
    </row>
    <row r="18" ht="20" customHeight="1">
      <c r="A18" s="37">
        <f>IF('Employés'!B16="","",'Employés'!A16)</f>
        <v/>
      </c>
      <c r="B18" s="38">
        <f>IF('Employés'!B16="","",'Employés'!B16)</f>
        <v/>
      </c>
      <c r="C18" s="38">
        <f>IF('Employés'!C16="","",'Employés'!C16)</f>
        <v/>
      </c>
      <c r="D18" s="37" t="n"/>
      <c r="E18" s="37" t="n"/>
      <c r="F18" s="37" t="n"/>
      <c r="G18" s="37" t="n"/>
      <c r="H18" s="37" t="n"/>
      <c r="I18" s="37" t="n"/>
      <c r="J18" s="37" t="n"/>
      <c r="K18" s="37" t="n"/>
      <c r="L18" s="37" t="n"/>
      <c r="M18" s="37" t="n"/>
      <c r="N18" s="37" t="n"/>
      <c r="O18" s="37" t="n"/>
      <c r="P18" s="37" t="n"/>
      <c r="Q18" s="37" t="n"/>
      <c r="R18" s="37" t="n"/>
      <c r="S18" s="37" t="n"/>
      <c r="T18" s="37" t="n"/>
      <c r="U18" s="37" t="n"/>
      <c r="V18" s="37" t="n"/>
      <c r="W18" s="37" t="n"/>
      <c r="X18" s="37" t="n"/>
      <c r="Y18" s="37" t="n"/>
      <c r="Z18" s="37" t="n"/>
      <c r="AA18" s="37" t="n"/>
      <c r="AB18" s="37" t="n"/>
      <c r="AC18" s="37" t="n"/>
      <c r="AD18" s="37" t="n"/>
      <c r="AE18" s="37" t="n"/>
      <c r="AF18" s="37" t="n"/>
      <c r="AG18" s="37" t="n"/>
      <c r="AH18" s="37" t="n"/>
      <c r="AI18" s="39">
        <f>IF($B18="","",COUNTIF(D18:AH18,"P"))</f>
        <v/>
      </c>
      <c r="AJ18" s="39">
        <f>IF($B18="","",COUNTIF(D18:AH18,"R"))</f>
        <v/>
      </c>
      <c r="AK18" s="39">
        <f>IF($B18="","",COUNTIF(D18:AH18,"A"))</f>
        <v/>
      </c>
      <c r="AL18" s="39">
        <f>IF($B18="","",COUNTIF(D18:AH18,"C"))</f>
        <v/>
      </c>
      <c r="AM18" s="39">
        <f>IF($B18="","",COUNTIF(D18:AH18,"M"))</f>
        <v/>
      </c>
      <c r="AN18" s="40">
        <f>IF($B18="","",IF(AI18+AJ18+AK18+AM18=0,"",(AI18+AJ18)/(AI18+AJ18+AK18+AM18)))</f>
        <v/>
      </c>
      <c r="AO18" s="41">
        <f>IF($B18="","",IF('Employés'!D16="","",(AI18+AJ18+AL18)*'Employés'!D16))</f>
        <v/>
      </c>
    </row>
    <row r="19" ht="20" customHeight="1">
      <c r="A19" s="37">
        <f>IF('Employés'!B17="","",'Employés'!A17)</f>
        <v/>
      </c>
      <c r="B19" s="38">
        <f>IF('Employés'!B17="","",'Employés'!B17)</f>
        <v/>
      </c>
      <c r="C19" s="38">
        <f>IF('Employés'!C17="","",'Employés'!C17)</f>
        <v/>
      </c>
      <c r="D19" s="37" t="n"/>
      <c r="E19" s="37" t="n"/>
      <c r="F19" s="37" t="n"/>
      <c r="G19" s="37" t="n"/>
      <c r="H19" s="37" t="n"/>
      <c r="I19" s="37" t="n"/>
      <c r="J19" s="37" t="n"/>
      <c r="K19" s="37" t="n"/>
      <c r="L19" s="37" t="n"/>
      <c r="M19" s="37" t="n"/>
      <c r="N19" s="37" t="n"/>
      <c r="O19" s="37" t="n"/>
      <c r="P19" s="37" t="n"/>
      <c r="Q19" s="37" t="n"/>
      <c r="R19" s="37" t="n"/>
      <c r="S19" s="37" t="n"/>
      <c r="T19" s="37" t="n"/>
      <c r="U19" s="37" t="n"/>
      <c r="V19" s="37" t="n"/>
      <c r="W19" s="37" t="n"/>
      <c r="X19" s="37" t="n"/>
      <c r="Y19" s="37" t="n"/>
      <c r="Z19" s="37" t="n"/>
      <c r="AA19" s="37" t="n"/>
      <c r="AB19" s="37" t="n"/>
      <c r="AC19" s="37" t="n"/>
      <c r="AD19" s="37" t="n"/>
      <c r="AE19" s="37" t="n"/>
      <c r="AF19" s="37" t="n"/>
      <c r="AG19" s="37" t="n"/>
      <c r="AH19" s="37" t="n"/>
      <c r="AI19" s="39">
        <f>IF($B19="","",COUNTIF(D19:AH19,"P"))</f>
        <v/>
      </c>
      <c r="AJ19" s="39">
        <f>IF($B19="","",COUNTIF(D19:AH19,"R"))</f>
        <v/>
      </c>
      <c r="AK19" s="39">
        <f>IF($B19="","",COUNTIF(D19:AH19,"A"))</f>
        <v/>
      </c>
      <c r="AL19" s="39">
        <f>IF($B19="","",COUNTIF(D19:AH19,"C"))</f>
        <v/>
      </c>
      <c r="AM19" s="39">
        <f>IF($B19="","",COUNTIF(D19:AH19,"M"))</f>
        <v/>
      </c>
      <c r="AN19" s="40">
        <f>IF($B19="","",IF(AI19+AJ19+AK19+AM19=0,"",(AI19+AJ19)/(AI19+AJ19+AK19+AM19)))</f>
        <v/>
      </c>
      <c r="AO19" s="41">
        <f>IF($B19="","",IF('Employés'!D17="","",(AI19+AJ19+AL19)*'Employés'!D17))</f>
        <v/>
      </c>
    </row>
    <row r="20" ht="20" customHeight="1">
      <c r="A20" s="37">
        <f>IF('Employés'!B18="","",'Employés'!A18)</f>
        <v/>
      </c>
      <c r="B20" s="38">
        <f>IF('Employés'!B18="","",'Employés'!B18)</f>
        <v/>
      </c>
      <c r="C20" s="38">
        <f>IF('Employés'!C18="","",'Employés'!C18)</f>
        <v/>
      </c>
      <c r="D20" s="37" t="n"/>
      <c r="E20" s="37" t="n"/>
      <c r="F20" s="37" t="n"/>
      <c r="G20" s="37" t="n"/>
      <c r="H20" s="37" t="n"/>
      <c r="I20" s="37" t="n"/>
      <c r="J20" s="37" t="n"/>
      <c r="K20" s="37" t="n"/>
      <c r="L20" s="37" t="n"/>
      <c r="M20" s="37" t="n"/>
      <c r="N20" s="37" t="n"/>
      <c r="O20" s="37" t="n"/>
      <c r="P20" s="37" t="n"/>
      <c r="Q20" s="37" t="n"/>
      <c r="R20" s="37" t="n"/>
      <c r="S20" s="37" t="n"/>
      <c r="T20" s="37" t="n"/>
      <c r="U20" s="37" t="n"/>
      <c r="V20" s="37" t="n"/>
      <c r="W20" s="37" t="n"/>
      <c r="X20" s="37" t="n"/>
      <c r="Y20" s="37" t="n"/>
      <c r="Z20" s="37" t="n"/>
      <c r="AA20" s="37" t="n"/>
      <c r="AB20" s="37" t="n"/>
      <c r="AC20" s="37" t="n"/>
      <c r="AD20" s="37" t="n"/>
      <c r="AE20" s="37" t="n"/>
      <c r="AF20" s="37" t="n"/>
      <c r="AG20" s="37" t="n"/>
      <c r="AH20" s="37" t="n"/>
      <c r="AI20" s="39">
        <f>IF($B20="","",COUNTIF(D20:AH20,"P"))</f>
        <v/>
      </c>
      <c r="AJ20" s="39">
        <f>IF($B20="","",COUNTIF(D20:AH20,"R"))</f>
        <v/>
      </c>
      <c r="AK20" s="39">
        <f>IF($B20="","",COUNTIF(D20:AH20,"A"))</f>
        <v/>
      </c>
      <c r="AL20" s="39">
        <f>IF($B20="","",COUNTIF(D20:AH20,"C"))</f>
        <v/>
      </c>
      <c r="AM20" s="39">
        <f>IF($B20="","",COUNTIF(D20:AH20,"M"))</f>
        <v/>
      </c>
      <c r="AN20" s="40">
        <f>IF($B20="","",IF(AI20+AJ20+AK20+AM20=0,"",(AI20+AJ20)/(AI20+AJ20+AK20+AM20)))</f>
        <v/>
      </c>
      <c r="AO20" s="41">
        <f>IF($B20="","",IF('Employés'!D18="","",(AI20+AJ20+AL20)*'Employés'!D18))</f>
        <v/>
      </c>
    </row>
    <row r="21" ht="20" customHeight="1">
      <c r="A21" s="37">
        <f>IF('Employés'!B19="","",'Employés'!A19)</f>
        <v/>
      </c>
      <c r="B21" s="38">
        <f>IF('Employés'!B19="","",'Employés'!B19)</f>
        <v/>
      </c>
      <c r="C21" s="38">
        <f>IF('Employés'!C19="","",'Employés'!C19)</f>
        <v/>
      </c>
      <c r="D21" s="37" t="n"/>
      <c r="E21" s="37" t="n"/>
      <c r="F21" s="37" t="n"/>
      <c r="G21" s="37" t="n"/>
      <c r="H21" s="37" t="n"/>
      <c r="I21" s="37" t="n"/>
      <c r="J21" s="37" t="n"/>
      <c r="K21" s="37" t="n"/>
      <c r="L21" s="37" t="n"/>
      <c r="M21" s="37" t="n"/>
      <c r="N21" s="37" t="n"/>
      <c r="O21" s="37" t="n"/>
      <c r="P21" s="37" t="n"/>
      <c r="Q21" s="37" t="n"/>
      <c r="R21" s="37" t="n"/>
      <c r="S21" s="37" t="n"/>
      <c r="T21" s="37" t="n"/>
      <c r="U21" s="37" t="n"/>
      <c r="V21" s="37" t="n"/>
      <c r="W21" s="37" t="n"/>
      <c r="X21" s="37" t="n"/>
      <c r="Y21" s="37" t="n"/>
      <c r="Z21" s="37" t="n"/>
      <c r="AA21" s="37" t="n"/>
      <c r="AB21" s="37" t="n"/>
      <c r="AC21" s="37" t="n"/>
      <c r="AD21" s="37" t="n"/>
      <c r="AE21" s="37" t="n"/>
      <c r="AF21" s="37" t="n"/>
      <c r="AG21" s="37" t="n"/>
      <c r="AH21" s="37" t="n"/>
      <c r="AI21" s="39">
        <f>IF($B21="","",COUNTIF(D21:AH21,"P"))</f>
        <v/>
      </c>
      <c r="AJ21" s="39">
        <f>IF($B21="","",COUNTIF(D21:AH21,"R"))</f>
        <v/>
      </c>
      <c r="AK21" s="39">
        <f>IF($B21="","",COUNTIF(D21:AH21,"A"))</f>
        <v/>
      </c>
      <c r="AL21" s="39">
        <f>IF($B21="","",COUNTIF(D21:AH21,"C"))</f>
        <v/>
      </c>
      <c r="AM21" s="39">
        <f>IF($B21="","",COUNTIF(D21:AH21,"M"))</f>
        <v/>
      </c>
      <c r="AN21" s="40">
        <f>IF($B21="","",IF(AI21+AJ21+AK21+AM21=0,"",(AI21+AJ21)/(AI21+AJ21+AK21+AM21)))</f>
        <v/>
      </c>
      <c r="AO21" s="41">
        <f>IF($B21="","",IF('Employés'!D19="","",(AI21+AJ21+AL21)*'Employés'!D19))</f>
        <v/>
      </c>
    </row>
    <row r="22" ht="20" customHeight="1">
      <c r="A22" s="37">
        <f>IF('Employés'!B20="","",'Employés'!A20)</f>
        <v/>
      </c>
      <c r="B22" s="38">
        <f>IF('Employés'!B20="","",'Employés'!B20)</f>
        <v/>
      </c>
      <c r="C22" s="38">
        <f>IF('Employés'!C20="","",'Employés'!C20)</f>
        <v/>
      </c>
      <c r="D22" s="37" t="n"/>
      <c r="E22" s="37" t="n"/>
      <c r="F22" s="37" t="n"/>
      <c r="G22" s="37" t="n"/>
      <c r="H22" s="37" t="n"/>
      <c r="I22" s="37" t="n"/>
      <c r="J22" s="37" t="n"/>
      <c r="K22" s="37" t="n"/>
      <c r="L22" s="37" t="n"/>
      <c r="M22" s="37" t="n"/>
      <c r="N22" s="37" t="n"/>
      <c r="O22" s="37" t="n"/>
      <c r="P22" s="37" t="n"/>
      <c r="Q22" s="37" t="n"/>
      <c r="R22" s="37" t="n"/>
      <c r="S22" s="37" t="n"/>
      <c r="T22" s="37" t="n"/>
      <c r="U22" s="37" t="n"/>
      <c r="V22" s="37" t="n"/>
      <c r="W22" s="37" t="n"/>
      <c r="X22" s="37" t="n"/>
      <c r="Y22" s="37" t="n"/>
      <c r="Z22" s="37" t="n"/>
      <c r="AA22" s="37" t="n"/>
      <c r="AB22" s="37" t="n"/>
      <c r="AC22" s="37" t="n"/>
      <c r="AD22" s="37" t="n"/>
      <c r="AE22" s="37" t="n"/>
      <c r="AF22" s="37" t="n"/>
      <c r="AG22" s="37" t="n"/>
      <c r="AH22" s="37" t="n"/>
      <c r="AI22" s="39">
        <f>IF($B22="","",COUNTIF(D22:AH22,"P"))</f>
        <v/>
      </c>
      <c r="AJ22" s="39">
        <f>IF($B22="","",COUNTIF(D22:AH22,"R"))</f>
        <v/>
      </c>
      <c r="AK22" s="39">
        <f>IF($B22="","",COUNTIF(D22:AH22,"A"))</f>
        <v/>
      </c>
      <c r="AL22" s="39">
        <f>IF($B22="","",COUNTIF(D22:AH22,"C"))</f>
        <v/>
      </c>
      <c r="AM22" s="39">
        <f>IF($B22="","",COUNTIF(D22:AH22,"M"))</f>
        <v/>
      </c>
      <c r="AN22" s="40">
        <f>IF($B22="","",IF(AI22+AJ22+AK22+AM22=0,"",(AI22+AJ22)/(AI22+AJ22+AK22+AM22)))</f>
        <v/>
      </c>
      <c r="AO22" s="41">
        <f>IF($B22="","",IF('Employés'!D20="","",(AI22+AJ22+AL22)*'Employés'!D20))</f>
        <v/>
      </c>
    </row>
    <row r="23" ht="20" customHeight="1">
      <c r="A23" s="37">
        <f>IF('Employés'!B21="","",'Employés'!A21)</f>
        <v/>
      </c>
      <c r="B23" s="38">
        <f>IF('Employés'!B21="","",'Employés'!B21)</f>
        <v/>
      </c>
      <c r="C23" s="38">
        <f>IF('Employés'!C21="","",'Employés'!C21)</f>
        <v/>
      </c>
      <c r="D23" s="37" t="n"/>
      <c r="E23" s="37" t="n"/>
      <c r="F23" s="37" t="n"/>
      <c r="G23" s="37" t="n"/>
      <c r="H23" s="37" t="n"/>
      <c r="I23" s="37" t="n"/>
      <c r="J23" s="37" t="n"/>
      <c r="K23" s="37" t="n"/>
      <c r="L23" s="37" t="n"/>
      <c r="M23" s="37" t="n"/>
      <c r="N23" s="37" t="n"/>
      <c r="O23" s="37" t="n"/>
      <c r="P23" s="37" t="n"/>
      <c r="Q23" s="37" t="n"/>
      <c r="R23" s="37" t="n"/>
      <c r="S23" s="37" t="n"/>
      <c r="T23" s="37" t="n"/>
      <c r="U23" s="37" t="n"/>
      <c r="V23" s="37" t="n"/>
      <c r="W23" s="37" t="n"/>
      <c r="X23" s="37" t="n"/>
      <c r="Y23" s="37" t="n"/>
      <c r="Z23" s="37" t="n"/>
      <c r="AA23" s="37" t="n"/>
      <c r="AB23" s="37" t="n"/>
      <c r="AC23" s="37" t="n"/>
      <c r="AD23" s="37" t="n"/>
      <c r="AE23" s="37" t="n"/>
      <c r="AF23" s="37" t="n"/>
      <c r="AG23" s="37" t="n"/>
      <c r="AH23" s="37" t="n"/>
      <c r="AI23" s="39">
        <f>IF($B23="","",COUNTIF(D23:AH23,"P"))</f>
        <v/>
      </c>
      <c r="AJ23" s="39">
        <f>IF($B23="","",COUNTIF(D23:AH23,"R"))</f>
        <v/>
      </c>
      <c r="AK23" s="39">
        <f>IF($B23="","",COUNTIF(D23:AH23,"A"))</f>
        <v/>
      </c>
      <c r="AL23" s="39">
        <f>IF($B23="","",COUNTIF(D23:AH23,"C"))</f>
        <v/>
      </c>
      <c r="AM23" s="39">
        <f>IF($B23="","",COUNTIF(D23:AH23,"M"))</f>
        <v/>
      </c>
      <c r="AN23" s="40">
        <f>IF($B23="","",IF(AI23+AJ23+AK23+AM23=0,"",(AI23+AJ23)/(AI23+AJ23+AK23+AM23)))</f>
        <v/>
      </c>
      <c r="AO23" s="41">
        <f>IF($B23="","",IF('Employés'!D21="","",(AI23+AJ23+AL23)*'Employés'!D21))</f>
        <v/>
      </c>
    </row>
    <row r="24" ht="20" customHeight="1">
      <c r="A24" s="37">
        <f>IF('Employés'!B22="","",'Employés'!A22)</f>
        <v/>
      </c>
      <c r="B24" s="38">
        <f>IF('Employés'!B22="","",'Employés'!B22)</f>
        <v/>
      </c>
      <c r="C24" s="38">
        <f>IF('Employés'!C22="","",'Employés'!C22)</f>
        <v/>
      </c>
      <c r="D24" s="37" t="n"/>
      <c r="E24" s="37" t="n"/>
      <c r="F24" s="37" t="n"/>
      <c r="G24" s="37" t="n"/>
      <c r="H24" s="37" t="n"/>
      <c r="I24" s="37" t="n"/>
      <c r="J24" s="37" t="n"/>
      <c r="K24" s="37" t="n"/>
      <c r="L24" s="37" t="n"/>
      <c r="M24" s="37" t="n"/>
      <c r="N24" s="37" t="n"/>
      <c r="O24" s="37" t="n"/>
      <c r="P24" s="37" t="n"/>
      <c r="Q24" s="37" t="n"/>
      <c r="R24" s="37" t="n"/>
      <c r="S24" s="37" t="n"/>
      <c r="T24" s="37" t="n"/>
      <c r="U24" s="37" t="n"/>
      <c r="V24" s="37" t="n"/>
      <c r="W24" s="37" t="n"/>
      <c r="X24" s="37" t="n"/>
      <c r="Y24" s="37" t="n"/>
      <c r="Z24" s="37" t="n"/>
      <c r="AA24" s="37" t="n"/>
      <c r="AB24" s="37" t="n"/>
      <c r="AC24" s="37" t="n"/>
      <c r="AD24" s="37" t="n"/>
      <c r="AE24" s="37" t="n"/>
      <c r="AF24" s="37" t="n"/>
      <c r="AG24" s="37" t="n"/>
      <c r="AH24" s="37" t="n"/>
      <c r="AI24" s="39">
        <f>IF($B24="","",COUNTIF(D24:AH24,"P"))</f>
        <v/>
      </c>
      <c r="AJ24" s="39">
        <f>IF($B24="","",COUNTIF(D24:AH24,"R"))</f>
        <v/>
      </c>
      <c r="AK24" s="39">
        <f>IF($B24="","",COUNTIF(D24:AH24,"A"))</f>
        <v/>
      </c>
      <c r="AL24" s="39">
        <f>IF($B24="","",COUNTIF(D24:AH24,"C"))</f>
        <v/>
      </c>
      <c r="AM24" s="39">
        <f>IF($B24="","",COUNTIF(D24:AH24,"M"))</f>
        <v/>
      </c>
      <c r="AN24" s="40">
        <f>IF($B24="","",IF(AI24+AJ24+AK24+AM24=0,"",(AI24+AJ24)/(AI24+AJ24+AK24+AM24)))</f>
        <v/>
      </c>
      <c r="AO24" s="41">
        <f>IF($B24="","",IF('Employés'!D22="","",(AI24+AJ24+AL24)*'Employés'!D22))</f>
        <v/>
      </c>
    </row>
    <row r="25" ht="20" customHeight="1">
      <c r="A25" s="37">
        <f>IF('Employés'!B23="","",'Employés'!A23)</f>
        <v/>
      </c>
      <c r="B25" s="38">
        <f>IF('Employés'!B23="","",'Employés'!B23)</f>
        <v/>
      </c>
      <c r="C25" s="38">
        <f>IF('Employés'!C23="","",'Employés'!C23)</f>
        <v/>
      </c>
      <c r="D25" s="37" t="n"/>
      <c r="E25" s="37" t="n"/>
      <c r="F25" s="37" t="n"/>
      <c r="G25" s="37" t="n"/>
      <c r="H25" s="37" t="n"/>
      <c r="I25" s="37" t="n"/>
      <c r="J25" s="37" t="n"/>
      <c r="K25" s="37" t="n"/>
      <c r="L25" s="37" t="n"/>
      <c r="M25" s="37" t="n"/>
      <c r="N25" s="37" t="n"/>
      <c r="O25" s="37" t="n"/>
      <c r="P25" s="37" t="n"/>
      <c r="Q25" s="37" t="n"/>
      <c r="R25" s="37" t="n"/>
      <c r="S25" s="37" t="n"/>
      <c r="T25" s="37" t="n"/>
      <c r="U25" s="37" t="n"/>
      <c r="V25" s="37" t="n"/>
      <c r="W25" s="37" t="n"/>
      <c r="X25" s="37" t="n"/>
      <c r="Y25" s="37" t="n"/>
      <c r="Z25" s="37" t="n"/>
      <c r="AA25" s="37" t="n"/>
      <c r="AB25" s="37" t="n"/>
      <c r="AC25" s="37" t="n"/>
      <c r="AD25" s="37" t="n"/>
      <c r="AE25" s="37" t="n"/>
      <c r="AF25" s="37" t="n"/>
      <c r="AG25" s="37" t="n"/>
      <c r="AH25" s="37" t="n"/>
      <c r="AI25" s="39">
        <f>IF($B25="","",COUNTIF(D25:AH25,"P"))</f>
        <v/>
      </c>
      <c r="AJ25" s="39">
        <f>IF($B25="","",COUNTIF(D25:AH25,"R"))</f>
        <v/>
      </c>
      <c r="AK25" s="39">
        <f>IF($B25="","",COUNTIF(D25:AH25,"A"))</f>
        <v/>
      </c>
      <c r="AL25" s="39">
        <f>IF($B25="","",COUNTIF(D25:AH25,"C"))</f>
        <v/>
      </c>
      <c r="AM25" s="39">
        <f>IF($B25="","",COUNTIF(D25:AH25,"M"))</f>
        <v/>
      </c>
      <c r="AN25" s="40">
        <f>IF($B25="","",IF(AI25+AJ25+AK25+AM25=0,"",(AI25+AJ25)/(AI25+AJ25+AK25+AM25)))</f>
        <v/>
      </c>
      <c r="AO25" s="41">
        <f>IF($B25="","",IF('Employés'!D23="","",(AI25+AJ25+AL25)*'Employés'!D23))</f>
        <v/>
      </c>
    </row>
    <row r="26" ht="20" customHeight="1">
      <c r="A26" s="37">
        <f>IF('Employés'!B24="","",'Employés'!A24)</f>
        <v/>
      </c>
      <c r="B26" s="38">
        <f>IF('Employés'!B24="","",'Employés'!B24)</f>
        <v/>
      </c>
      <c r="C26" s="38">
        <f>IF('Employés'!C24="","",'Employés'!C24)</f>
        <v/>
      </c>
      <c r="D26" s="37" t="n"/>
      <c r="E26" s="37" t="n"/>
      <c r="F26" s="37" t="n"/>
      <c r="G26" s="37" t="n"/>
      <c r="H26" s="37" t="n"/>
      <c r="I26" s="37" t="n"/>
      <c r="J26" s="37" t="n"/>
      <c r="K26" s="37" t="n"/>
      <c r="L26" s="37" t="n"/>
      <c r="M26" s="37" t="n"/>
      <c r="N26" s="37" t="n"/>
      <c r="O26" s="37" t="n"/>
      <c r="P26" s="37" t="n"/>
      <c r="Q26" s="37" t="n"/>
      <c r="R26" s="37" t="n"/>
      <c r="S26" s="37" t="n"/>
      <c r="T26" s="37" t="n"/>
      <c r="U26" s="37" t="n"/>
      <c r="V26" s="37" t="n"/>
      <c r="W26" s="37" t="n"/>
      <c r="X26" s="37" t="n"/>
      <c r="Y26" s="37" t="n"/>
      <c r="Z26" s="37" t="n"/>
      <c r="AA26" s="37" t="n"/>
      <c r="AB26" s="37" t="n"/>
      <c r="AC26" s="37" t="n"/>
      <c r="AD26" s="37" t="n"/>
      <c r="AE26" s="37" t="n"/>
      <c r="AF26" s="37" t="n"/>
      <c r="AG26" s="37" t="n"/>
      <c r="AH26" s="37" t="n"/>
      <c r="AI26" s="39">
        <f>IF($B26="","",COUNTIF(D26:AH26,"P"))</f>
        <v/>
      </c>
      <c r="AJ26" s="39">
        <f>IF($B26="","",COUNTIF(D26:AH26,"R"))</f>
        <v/>
      </c>
      <c r="AK26" s="39">
        <f>IF($B26="","",COUNTIF(D26:AH26,"A"))</f>
        <v/>
      </c>
      <c r="AL26" s="39">
        <f>IF($B26="","",COUNTIF(D26:AH26,"C"))</f>
        <v/>
      </c>
      <c r="AM26" s="39">
        <f>IF($B26="","",COUNTIF(D26:AH26,"M"))</f>
        <v/>
      </c>
      <c r="AN26" s="40">
        <f>IF($B26="","",IF(AI26+AJ26+AK26+AM26=0,"",(AI26+AJ26)/(AI26+AJ26+AK26+AM26)))</f>
        <v/>
      </c>
      <c r="AO26" s="41">
        <f>IF($B26="","",IF('Employés'!D24="","",(AI26+AJ26+AL26)*'Employés'!D24))</f>
        <v/>
      </c>
    </row>
    <row r="27" ht="20" customHeight="1">
      <c r="A27" s="37">
        <f>IF('Employés'!B25="","",'Employés'!A25)</f>
        <v/>
      </c>
      <c r="B27" s="38">
        <f>IF('Employés'!B25="","",'Employés'!B25)</f>
        <v/>
      </c>
      <c r="C27" s="38">
        <f>IF('Employés'!C25="","",'Employés'!C25)</f>
        <v/>
      </c>
      <c r="D27" s="37" t="n"/>
      <c r="E27" s="37" t="n"/>
      <c r="F27" s="37" t="n"/>
      <c r="G27" s="37" t="n"/>
      <c r="H27" s="37" t="n"/>
      <c r="I27" s="37" t="n"/>
      <c r="J27" s="37" t="n"/>
      <c r="K27" s="37" t="n"/>
      <c r="L27" s="37" t="n"/>
      <c r="M27" s="37" t="n"/>
      <c r="N27" s="37" t="n"/>
      <c r="O27" s="37" t="n"/>
      <c r="P27" s="37" t="n"/>
      <c r="Q27" s="37" t="n"/>
      <c r="R27" s="37" t="n"/>
      <c r="S27" s="37" t="n"/>
      <c r="T27" s="37" t="n"/>
      <c r="U27" s="37" t="n"/>
      <c r="V27" s="37" t="n"/>
      <c r="W27" s="37" t="n"/>
      <c r="X27" s="37" t="n"/>
      <c r="Y27" s="37" t="n"/>
      <c r="Z27" s="37" t="n"/>
      <c r="AA27" s="37" t="n"/>
      <c r="AB27" s="37" t="n"/>
      <c r="AC27" s="37" t="n"/>
      <c r="AD27" s="37" t="n"/>
      <c r="AE27" s="37" t="n"/>
      <c r="AF27" s="37" t="n"/>
      <c r="AG27" s="37" t="n"/>
      <c r="AH27" s="37" t="n"/>
      <c r="AI27" s="39">
        <f>IF($B27="","",COUNTIF(D27:AH27,"P"))</f>
        <v/>
      </c>
      <c r="AJ27" s="39">
        <f>IF($B27="","",COUNTIF(D27:AH27,"R"))</f>
        <v/>
      </c>
      <c r="AK27" s="39">
        <f>IF($B27="","",COUNTIF(D27:AH27,"A"))</f>
        <v/>
      </c>
      <c r="AL27" s="39">
        <f>IF($B27="","",COUNTIF(D27:AH27,"C"))</f>
        <v/>
      </c>
      <c r="AM27" s="39">
        <f>IF($B27="","",COUNTIF(D27:AH27,"M"))</f>
        <v/>
      </c>
      <c r="AN27" s="40">
        <f>IF($B27="","",IF(AI27+AJ27+AK27+AM27=0,"",(AI27+AJ27)/(AI27+AJ27+AK27+AM27)))</f>
        <v/>
      </c>
      <c r="AO27" s="41">
        <f>IF($B27="","",IF('Employés'!D25="","",(AI27+AJ27+AL27)*'Employés'!D25))</f>
        <v/>
      </c>
    </row>
    <row r="28" ht="20" customHeight="1">
      <c r="A28" s="37">
        <f>IF('Employés'!B26="","",'Employés'!A26)</f>
        <v/>
      </c>
      <c r="B28" s="38">
        <f>IF('Employés'!B26="","",'Employés'!B26)</f>
        <v/>
      </c>
      <c r="C28" s="38">
        <f>IF('Employés'!C26="","",'Employés'!C26)</f>
        <v/>
      </c>
      <c r="D28" s="37" t="n"/>
      <c r="E28" s="37" t="n"/>
      <c r="F28" s="37" t="n"/>
      <c r="G28" s="37" t="n"/>
      <c r="H28" s="37" t="n"/>
      <c r="I28" s="37" t="n"/>
      <c r="J28" s="37" t="n"/>
      <c r="K28" s="37" t="n"/>
      <c r="L28" s="37" t="n"/>
      <c r="M28" s="37" t="n"/>
      <c r="N28" s="37" t="n"/>
      <c r="O28" s="37" t="n"/>
      <c r="P28" s="37" t="n"/>
      <c r="Q28" s="37" t="n"/>
      <c r="R28" s="37" t="n"/>
      <c r="S28" s="37" t="n"/>
      <c r="T28" s="37" t="n"/>
      <c r="U28" s="37" t="n"/>
      <c r="V28" s="37" t="n"/>
      <c r="W28" s="37" t="n"/>
      <c r="X28" s="37" t="n"/>
      <c r="Y28" s="37" t="n"/>
      <c r="Z28" s="37" t="n"/>
      <c r="AA28" s="37" t="n"/>
      <c r="AB28" s="37" t="n"/>
      <c r="AC28" s="37" t="n"/>
      <c r="AD28" s="37" t="n"/>
      <c r="AE28" s="37" t="n"/>
      <c r="AF28" s="37" t="n"/>
      <c r="AG28" s="37" t="n"/>
      <c r="AH28" s="37" t="n"/>
      <c r="AI28" s="39">
        <f>IF($B28="","",COUNTIF(D28:AH28,"P"))</f>
        <v/>
      </c>
      <c r="AJ28" s="39">
        <f>IF($B28="","",COUNTIF(D28:AH28,"R"))</f>
        <v/>
      </c>
      <c r="AK28" s="39">
        <f>IF($B28="","",COUNTIF(D28:AH28,"A"))</f>
        <v/>
      </c>
      <c r="AL28" s="39">
        <f>IF($B28="","",COUNTIF(D28:AH28,"C"))</f>
        <v/>
      </c>
      <c r="AM28" s="39">
        <f>IF($B28="","",COUNTIF(D28:AH28,"M"))</f>
        <v/>
      </c>
      <c r="AN28" s="40">
        <f>IF($B28="","",IF(AI28+AJ28+AK28+AM28=0,"",(AI28+AJ28)/(AI28+AJ28+AK28+AM28)))</f>
        <v/>
      </c>
      <c r="AO28" s="41">
        <f>IF($B28="","",IF('Employés'!D26="","",(AI28+AJ28+AL28)*'Employés'!D26))</f>
        <v/>
      </c>
    </row>
    <row r="29" ht="20" customHeight="1">
      <c r="A29" s="37">
        <f>IF('Employés'!B27="","",'Employés'!A27)</f>
        <v/>
      </c>
      <c r="B29" s="38">
        <f>IF('Employés'!B27="","",'Employés'!B27)</f>
        <v/>
      </c>
      <c r="C29" s="38">
        <f>IF('Employés'!C27="","",'Employés'!C27)</f>
        <v/>
      </c>
      <c r="D29" s="37" t="n"/>
      <c r="E29" s="37" t="n"/>
      <c r="F29" s="37" t="n"/>
      <c r="G29" s="37" t="n"/>
      <c r="H29" s="37" t="n"/>
      <c r="I29" s="37" t="n"/>
      <c r="J29" s="37" t="n"/>
      <c r="K29" s="37" t="n"/>
      <c r="L29" s="37" t="n"/>
      <c r="M29" s="37" t="n"/>
      <c r="N29" s="37" t="n"/>
      <c r="O29" s="37" t="n"/>
      <c r="P29" s="37" t="n"/>
      <c r="Q29" s="37" t="n"/>
      <c r="R29" s="37" t="n"/>
      <c r="S29" s="37" t="n"/>
      <c r="T29" s="37" t="n"/>
      <c r="U29" s="37" t="n"/>
      <c r="V29" s="37" t="n"/>
      <c r="W29" s="37" t="n"/>
      <c r="X29" s="37" t="n"/>
      <c r="Y29" s="37" t="n"/>
      <c r="Z29" s="37" t="n"/>
      <c r="AA29" s="37" t="n"/>
      <c r="AB29" s="37" t="n"/>
      <c r="AC29" s="37" t="n"/>
      <c r="AD29" s="37" t="n"/>
      <c r="AE29" s="37" t="n"/>
      <c r="AF29" s="37" t="n"/>
      <c r="AG29" s="37" t="n"/>
      <c r="AH29" s="37" t="n"/>
      <c r="AI29" s="39">
        <f>IF($B29="","",COUNTIF(D29:AH29,"P"))</f>
        <v/>
      </c>
      <c r="AJ29" s="39">
        <f>IF($B29="","",COUNTIF(D29:AH29,"R"))</f>
        <v/>
      </c>
      <c r="AK29" s="39">
        <f>IF($B29="","",COUNTIF(D29:AH29,"A"))</f>
        <v/>
      </c>
      <c r="AL29" s="39">
        <f>IF($B29="","",COUNTIF(D29:AH29,"C"))</f>
        <v/>
      </c>
      <c r="AM29" s="39">
        <f>IF($B29="","",COUNTIF(D29:AH29,"M"))</f>
        <v/>
      </c>
      <c r="AN29" s="40">
        <f>IF($B29="","",IF(AI29+AJ29+AK29+AM29=0,"",(AI29+AJ29)/(AI29+AJ29+AK29+AM29)))</f>
        <v/>
      </c>
      <c r="AO29" s="41">
        <f>IF($B29="","",IF('Employés'!D27="","",(AI29+AJ29+AL29)*'Employés'!D27))</f>
        <v/>
      </c>
    </row>
    <row r="30" ht="20" customHeight="1">
      <c r="A30" s="37">
        <f>IF('Employés'!B28="","",'Employés'!A28)</f>
        <v/>
      </c>
      <c r="B30" s="38">
        <f>IF('Employés'!B28="","",'Employés'!B28)</f>
        <v/>
      </c>
      <c r="C30" s="38">
        <f>IF('Employés'!C28="","",'Employés'!C28)</f>
        <v/>
      </c>
      <c r="D30" s="37" t="n"/>
      <c r="E30" s="37" t="n"/>
      <c r="F30" s="37" t="n"/>
      <c r="G30" s="37" t="n"/>
      <c r="H30" s="37" t="n"/>
      <c r="I30" s="37" t="n"/>
      <c r="J30" s="37" t="n"/>
      <c r="K30" s="37" t="n"/>
      <c r="L30" s="37" t="n"/>
      <c r="M30" s="37" t="n"/>
      <c r="N30" s="37" t="n"/>
      <c r="O30" s="37" t="n"/>
      <c r="P30" s="37" t="n"/>
      <c r="Q30" s="37" t="n"/>
      <c r="R30" s="37" t="n"/>
      <c r="S30" s="37" t="n"/>
      <c r="T30" s="37" t="n"/>
      <c r="U30" s="37" t="n"/>
      <c r="V30" s="37" t="n"/>
      <c r="W30" s="37" t="n"/>
      <c r="X30" s="37" t="n"/>
      <c r="Y30" s="37" t="n"/>
      <c r="Z30" s="37" t="n"/>
      <c r="AA30" s="37" t="n"/>
      <c r="AB30" s="37" t="n"/>
      <c r="AC30" s="37" t="n"/>
      <c r="AD30" s="37" t="n"/>
      <c r="AE30" s="37" t="n"/>
      <c r="AF30" s="37" t="n"/>
      <c r="AG30" s="37" t="n"/>
      <c r="AH30" s="37" t="n"/>
      <c r="AI30" s="39">
        <f>IF($B30="","",COUNTIF(D30:AH30,"P"))</f>
        <v/>
      </c>
      <c r="AJ30" s="39">
        <f>IF($B30="","",COUNTIF(D30:AH30,"R"))</f>
        <v/>
      </c>
      <c r="AK30" s="39">
        <f>IF($B30="","",COUNTIF(D30:AH30,"A"))</f>
        <v/>
      </c>
      <c r="AL30" s="39">
        <f>IF($B30="","",COUNTIF(D30:AH30,"C"))</f>
        <v/>
      </c>
      <c r="AM30" s="39">
        <f>IF($B30="","",COUNTIF(D30:AH30,"M"))</f>
        <v/>
      </c>
      <c r="AN30" s="40">
        <f>IF($B30="","",IF(AI30+AJ30+AK30+AM30=0,"",(AI30+AJ30)/(AI30+AJ30+AK30+AM30)))</f>
        <v/>
      </c>
      <c r="AO30" s="41">
        <f>IF($B30="","",IF('Employés'!D28="","",(AI30+AJ30+AL30)*'Employés'!D28))</f>
        <v/>
      </c>
    </row>
    <row r="31" ht="20" customHeight="1">
      <c r="A31" s="37">
        <f>IF('Employés'!B29="","",'Employés'!A29)</f>
        <v/>
      </c>
      <c r="B31" s="38">
        <f>IF('Employés'!B29="","",'Employés'!B29)</f>
        <v/>
      </c>
      <c r="C31" s="38">
        <f>IF('Employés'!C29="","",'Employés'!C29)</f>
        <v/>
      </c>
      <c r="D31" s="37" t="n"/>
      <c r="E31" s="37" t="n"/>
      <c r="F31" s="37" t="n"/>
      <c r="G31" s="37" t="n"/>
      <c r="H31" s="37" t="n"/>
      <c r="I31" s="37" t="n"/>
      <c r="J31" s="37" t="n"/>
      <c r="K31" s="37" t="n"/>
      <c r="L31" s="37" t="n"/>
      <c r="M31" s="37" t="n"/>
      <c r="N31" s="37" t="n"/>
      <c r="O31" s="37" t="n"/>
      <c r="P31" s="37" t="n"/>
      <c r="Q31" s="37" t="n"/>
      <c r="R31" s="37" t="n"/>
      <c r="S31" s="37" t="n"/>
      <c r="T31" s="37" t="n"/>
      <c r="U31" s="37" t="n"/>
      <c r="V31" s="37" t="n"/>
      <c r="W31" s="37" t="n"/>
      <c r="X31" s="37" t="n"/>
      <c r="Y31" s="37" t="n"/>
      <c r="Z31" s="37" t="n"/>
      <c r="AA31" s="37" t="n"/>
      <c r="AB31" s="37" t="n"/>
      <c r="AC31" s="37" t="n"/>
      <c r="AD31" s="37" t="n"/>
      <c r="AE31" s="37" t="n"/>
      <c r="AF31" s="37" t="n"/>
      <c r="AG31" s="37" t="n"/>
      <c r="AH31" s="37" t="n"/>
      <c r="AI31" s="39">
        <f>IF($B31="","",COUNTIF(D31:AH31,"P"))</f>
        <v/>
      </c>
      <c r="AJ31" s="39">
        <f>IF($B31="","",COUNTIF(D31:AH31,"R"))</f>
        <v/>
      </c>
      <c r="AK31" s="39">
        <f>IF($B31="","",COUNTIF(D31:AH31,"A"))</f>
        <v/>
      </c>
      <c r="AL31" s="39">
        <f>IF($B31="","",COUNTIF(D31:AH31,"C"))</f>
        <v/>
      </c>
      <c r="AM31" s="39">
        <f>IF($B31="","",COUNTIF(D31:AH31,"M"))</f>
        <v/>
      </c>
      <c r="AN31" s="40">
        <f>IF($B31="","",IF(AI31+AJ31+AK31+AM31=0,"",(AI31+AJ31)/(AI31+AJ31+AK31+AM31)))</f>
        <v/>
      </c>
      <c r="AO31" s="41">
        <f>IF($B31="","",IF('Employés'!D29="","",(AI31+AJ31+AL31)*'Employés'!D29))</f>
        <v/>
      </c>
    </row>
    <row r="32" ht="20" customHeight="1">
      <c r="A32" s="37">
        <f>IF('Employés'!B30="","",'Employés'!A30)</f>
        <v/>
      </c>
      <c r="B32" s="38">
        <f>IF('Employés'!B30="","",'Employés'!B30)</f>
        <v/>
      </c>
      <c r="C32" s="38">
        <f>IF('Employés'!C30="","",'Employés'!C30)</f>
        <v/>
      </c>
      <c r="D32" s="37" t="n"/>
      <c r="E32" s="37" t="n"/>
      <c r="F32" s="37" t="n"/>
      <c r="G32" s="37" t="n"/>
      <c r="H32" s="37" t="n"/>
      <c r="I32" s="37" t="n"/>
      <c r="J32" s="37" t="n"/>
      <c r="K32" s="37" t="n"/>
      <c r="L32" s="37" t="n"/>
      <c r="M32" s="37" t="n"/>
      <c r="N32" s="37" t="n"/>
      <c r="O32" s="37" t="n"/>
      <c r="P32" s="37" t="n"/>
      <c r="Q32" s="37" t="n"/>
      <c r="R32" s="37" t="n"/>
      <c r="S32" s="37" t="n"/>
      <c r="T32" s="37" t="n"/>
      <c r="U32" s="37" t="n"/>
      <c r="V32" s="37" t="n"/>
      <c r="W32" s="37" t="n"/>
      <c r="X32" s="37" t="n"/>
      <c r="Y32" s="37" t="n"/>
      <c r="Z32" s="37" t="n"/>
      <c r="AA32" s="37" t="n"/>
      <c r="AB32" s="37" t="n"/>
      <c r="AC32" s="37" t="n"/>
      <c r="AD32" s="37" t="n"/>
      <c r="AE32" s="37" t="n"/>
      <c r="AF32" s="37" t="n"/>
      <c r="AG32" s="37" t="n"/>
      <c r="AH32" s="37" t="n"/>
      <c r="AI32" s="39">
        <f>IF($B32="","",COUNTIF(D32:AH32,"P"))</f>
        <v/>
      </c>
      <c r="AJ32" s="39">
        <f>IF($B32="","",COUNTIF(D32:AH32,"R"))</f>
        <v/>
      </c>
      <c r="AK32" s="39">
        <f>IF($B32="","",COUNTIF(D32:AH32,"A"))</f>
        <v/>
      </c>
      <c r="AL32" s="39">
        <f>IF($B32="","",COUNTIF(D32:AH32,"C"))</f>
        <v/>
      </c>
      <c r="AM32" s="39">
        <f>IF($B32="","",COUNTIF(D32:AH32,"M"))</f>
        <v/>
      </c>
      <c r="AN32" s="40">
        <f>IF($B32="","",IF(AI32+AJ32+AK32+AM32=0,"",(AI32+AJ32)/(AI32+AJ32+AK32+AM32)))</f>
        <v/>
      </c>
      <c r="AO32" s="41">
        <f>IF($B32="","",IF('Employés'!D30="","",(AI32+AJ32+AL32)*'Employés'!D30))</f>
        <v/>
      </c>
    </row>
    <row r="33" ht="20" customHeight="1">
      <c r="A33" s="37">
        <f>IF('Employés'!B31="","",'Employés'!A31)</f>
        <v/>
      </c>
      <c r="B33" s="38">
        <f>IF('Employés'!B31="","",'Employés'!B31)</f>
        <v/>
      </c>
      <c r="C33" s="38">
        <f>IF('Employés'!C31="","",'Employés'!C31)</f>
        <v/>
      </c>
      <c r="D33" s="37" t="n"/>
      <c r="E33" s="37" t="n"/>
      <c r="F33" s="37" t="n"/>
      <c r="G33" s="37" t="n"/>
      <c r="H33" s="37" t="n"/>
      <c r="I33" s="37" t="n"/>
      <c r="J33" s="37" t="n"/>
      <c r="K33" s="37" t="n"/>
      <c r="L33" s="37" t="n"/>
      <c r="M33" s="37" t="n"/>
      <c r="N33" s="37" t="n"/>
      <c r="O33" s="37" t="n"/>
      <c r="P33" s="37" t="n"/>
      <c r="Q33" s="37" t="n"/>
      <c r="R33" s="37" t="n"/>
      <c r="S33" s="37" t="n"/>
      <c r="T33" s="37" t="n"/>
      <c r="U33" s="37" t="n"/>
      <c r="V33" s="37" t="n"/>
      <c r="W33" s="37" t="n"/>
      <c r="X33" s="37" t="n"/>
      <c r="Y33" s="37" t="n"/>
      <c r="Z33" s="37" t="n"/>
      <c r="AA33" s="37" t="n"/>
      <c r="AB33" s="37" t="n"/>
      <c r="AC33" s="37" t="n"/>
      <c r="AD33" s="37" t="n"/>
      <c r="AE33" s="37" t="n"/>
      <c r="AF33" s="37" t="n"/>
      <c r="AG33" s="37" t="n"/>
      <c r="AH33" s="37" t="n"/>
      <c r="AI33" s="39">
        <f>IF($B33="","",COUNTIF(D33:AH33,"P"))</f>
        <v/>
      </c>
      <c r="AJ33" s="39">
        <f>IF($B33="","",COUNTIF(D33:AH33,"R"))</f>
        <v/>
      </c>
      <c r="AK33" s="39">
        <f>IF($B33="","",COUNTIF(D33:AH33,"A"))</f>
        <v/>
      </c>
      <c r="AL33" s="39">
        <f>IF($B33="","",COUNTIF(D33:AH33,"C"))</f>
        <v/>
      </c>
      <c r="AM33" s="39">
        <f>IF($B33="","",COUNTIF(D33:AH33,"M"))</f>
        <v/>
      </c>
      <c r="AN33" s="40">
        <f>IF($B33="","",IF(AI33+AJ33+AK33+AM33=0,"",(AI33+AJ33)/(AI33+AJ33+AK33+AM33)))</f>
        <v/>
      </c>
      <c r="AO33" s="41">
        <f>IF($B33="","",IF('Employés'!D31="","",(AI33+AJ33+AL33)*'Employés'!D31))</f>
        <v/>
      </c>
    </row>
    <row r="34" ht="20" customHeight="1">
      <c r="A34" s="37">
        <f>IF('Employés'!B32="","",'Employés'!A32)</f>
        <v/>
      </c>
      <c r="B34" s="38">
        <f>IF('Employés'!B32="","",'Employés'!B32)</f>
        <v/>
      </c>
      <c r="C34" s="38">
        <f>IF('Employés'!C32="","",'Employés'!C32)</f>
        <v/>
      </c>
      <c r="D34" s="37" t="n"/>
      <c r="E34" s="37" t="n"/>
      <c r="F34" s="37" t="n"/>
      <c r="G34" s="37" t="n"/>
      <c r="H34" s="37" t="n"/>
      <c r="I34" s="37" t="n"/>
      <c r="J34" s="37" t="n"/>
      <c r="K34" s="37" t="n"/>
      <c r="L34" s="37" t="n"/>
      <c r="M34" s="37" t="n"/>
      <c r="N34" s="37" t="n"/>
      <c r="O34" s="37" t="n"/>
      <c r="P34" s="37" t="n"/>
      <c r="Q34" s="37" t="n"/>
      <c r="R34" s="37" t="n"/>
      <c r="S34" s="37" t="n"/>
      <c r="T34" s="37" t="n"/>
      <c r="U34" s="37" t="n"/>
      <c r="V34" s="37" t="n"/>
      <c r="W34" s="37" t="n"/>
      <c r="X34" s="37" t="n"/>
      <c r="Y34" s="37" t="n"/>
      <c r="Z34" s="37" t="n"/>
      <c r="AA34" s="37" t="n"/>
      <c r="AB34" s="37" t="n"/>
      <c r="AC34" s="37" t="n"/>
      <c r="AD34" s="37" t="n"/>
      <c r="AE34" s="37" t="n"/>
      <c r="AF34" s="37" t="n"/>
      <c r="AG34" s="37" t="n"/>
      <c r="AH34" s="37" t="n"/>
      <c r="AI34" s="39">
        <f>IF($B34="","",COUNTIF(D34:AH34,"P"))</f>
        <v/>
      </c>
      <c r="AJ34" s="39">
        <f>IF($B34="","",COUNTIF(D34:AH34,"R"))</f>
        <v/>
      </c>
      <c r="AK34" s="39">
        <f>IF($B34="","",COUNTIF(D34:AH34,"A"))</f>
        <v/>
      </c>
      <c r="AL34" s="39">
        <f>IF($B34="","",COUNTIF(D34:AH34,"C"))</f>
        <v/>
      </c>
      <c r="AM34" s="39">
        <f>IF($B34="","",COUNTIF(D34:AH34,"M"))</f>
        <v/>
      </c>
      <c r="AN34" s="40">
        <f>IF($B34="","",IF(AI34+AJ34+AK34+AM34=0,"",(AI34+AJ34)/(AI34+AJ34+AK34+AM34)))</f>
        <v/>
      </c>
      <c r="AO34" s="41">
        <f>IF($B34="","",IF('Employés'!D32="","",(AI34+AJ34+AL34)*'Employés'!D32))</f>
        <v/>
      </c>
    </row>
    <row r="35" ht="20" customHeight="1">
      <c r="A35" s="37">
        <f>IF('Employés'!B33="","",'Employés'!A33)</f>
        <v/>
      </c>
      <c r="B35" s="38">
        <f>IF('Employés'!B33="","",'Employés'!B33)</f>
        <v/>
      </c>
      <c r="C35" s="38">
        <f>IF('Employés'!C33="","",'Employés'!C33)</f>
        <v/>
      </c>
      <c r="D35" s="37" t="n"/>
      <c r="E35" s="37" t="n"/>
      <c r="F35" s="37" t="n"/>
      <c r="G35" s="37" t="n"/>
      <c r="H35" s="37" t="n"/>
      <c r="I35" s="37" t="n"/>
      <c r="J35" s="37" t="n"/>
      <c r="K35" s="37" t="n"/>
      <c r="L35" s="37" t="n"/>
      <c r="M35" s="37" t="n"/>
      <c r="N35" s="37" t="n"/>
      <c r="O35" s="37" t="n"/>
      <c r="P35" s="37" t="n"/>
      <c r="Q35" s="37" t="n"/>
      <c r="R35" s="37" t="n"/>
      <c r="S35" s="37" t="n"/>
      <c r="T35" s="37" t="n"/>
      <c r="U35" s="37" t="n"/>
      <c r="V35" s="37" t="n"/>
      <c r="W35" s="37" t="n"/>
      <c r="X35" s="37" t="n"/>
      <c r="Y35" s="37" t="n"/>
      <c r="Z35" s="37" t="n"/>
      <c r="AA35" s="37" t="n"/>
      <c r="AB35" s="37" t="n"/>
      <c r="AC35" s="37" t="n"/>
      <c r="AD35" s="37" t="n"/>
      <c r="AE35" s="37" t="n"/>
      <c r="AF35" s="37" t="n"/>
      <c r="AG35" s="37" t="n"/>
      <c r="AH35" s="37" t="n"/>
      <c r="AI35" s="39">
        <f>IF($B35="","",COUNTIF(D35:AH35,"P"))</f>
        <v/>
      </c>
      <c r="AJ35" s="39">
        <f>IF($B35="","",COUNTIF(D35:AH35,"R"))</f>
        <v/>
      </c>
      <c r="AK35" s="39">
        <f>IF($B35="","",COUNTIF(D35:AH35,"A"))</f>
        <v/>
      </c>
      <c r="AL35" s="39">
        <f>IF($B35="","",COUNTIF(D35:AH35,"C"))</f>
        <v/>
      </c>
      <c r="AM35" s="39">
        <f>IF($B35="","",COUNTIF(D35:AH35,"M"))</f>
        <v/>
      </c>
      <c r="AN35" s="40">
        <f>IF($B35="","",IF(AI35+AJ35+AK35+AM35=0,"",(AI35+AJ35)/(AI35+AJ35+AK35+AM35)))</f>
        <v/>
      </c>
      <c r="AO35" s="41">
        <f>IF($B35="","",IF('Employés'!D33="","",(AI35+AJ35+AL35)*'Employés'!D33))</f>
        <v/>
      </c>
    </row>
    <row r="36" ht="20" customHeight="1">
      <c r="A36" s="37">
        <f>IF('Employés'!B34="","",'Employés'!A34)</f>
        <v/>
      </c>
      <c r="B36" s="38">
        <f>IF('Employés'!B34="","",'Employés'!B34)</f>
        <v/>
      </c>
      <c r="C36" s="38">
        <f>IF('Employés'!C34="","",'Employés'!C34)</f>
        <v/>
      </c>
      <c r="D36" s="37" t="n"/>
      <c r="E36" s="37" t="n"/>
      <c r="F36" s="37" t="n"/>
      <c r="G36" s="37" t="n"/>
      <c r="H36" s="37" t="n"/>
      <c r="I36" s="37" t="n"/>
      <c r="J36" s="37" t="n"/>
      <c r="K36" s="37" t="n"/>
      <c r="L36" s="37" t="n"/>
      <c r="M36" s="37" t="n"/>
      <c r="N36" s="37" t="n"/>
      <c r="O36" s="37" t="n"/>
      <c r="P36" s="37" t="n"/>
      <c r="Q36" s="37" t="n"/>
      <c r="R36" s="37" t="n"/>
      <c r="S36" s="37" t="n"/>
      <c r="T36" s="37" t="n"/>
      <c r="U36" s="37" t="n"/>
      <c r="V36" s="37" t="n"/>
      <c r="W36" s="37" t="n"/>
      <c r="X36" s="37" t="n"/>
      <c r="Y36" s="37" t="n"/>
      <c r="Z36" s="37" t="n"/>
      <c r="AA36" s="37" t="n"/>
      <c r="AB36" s="37" t="n"/>
      <c r="AC36" s="37" t="n"/>
      <c r="AD36" s="37" t="n"/>
      <c r="AE36" s="37" t="n"/>
      <c r="AF36" s="37" t="n"/>
      <c r="AG36" s="37" t="n"/>
      <c r="AH36" s="37" t="n"/>
      <c r="AI36" s="39">
        <f>IF($B36="","",COUNTIF(D36:AH36,"P"))</f>
        <v/>
      </c>
      <c r="AJ36" s="39">
        <f>IF($B36="","",COUNTIF(D36:AH36,"R"))</f>
        <v/>
      </c>
      <c r="AK36" s="39">
        <f>IF($B36="","",COUNTIF(D36:AH36,"A"))</f>
        <v/>
      </c>
      <c r="AL36" s="39">
        <f>IF($B36="","",COUNTIF(D36:AH36,"C"))</f>
        <v/>
      </c>
      <c r="AM36" s="39">
        <f>IF($B36="","",COUNTIF(D36:AH36,"M"))</f>
        <v/>
      </c>
      <c r="AN36" s="40">
        <f>IF($B36="","",IF(AI36+AJ36+AK36+AM36=0,"",(AI36+AJ36)/(AI36+AJ36+AK36+AM36)))</f>
        <v/>
      </c>
      <c r="AO36" s="41">
        <f>IF($B36="","",IF('Employés'!D34="","",(AI36+AJ36+AL36)*'Employés'!D34))</f>
        <v/>
      </c>
    </row>
    <row r="37">
      <c r="A37" s="42" t="n"/>
      <c r="B37" s="42" t="inlineStr">
        <is>
          <t>TOTAL</t>
        </is>
      </c>
      <c r="C37" s="42" t="n"/>
      <c r="D37" s="42" t="n"/>
      <c r="E37" s="42" t="n"/>
      <c r="F37" s="42" t="n"/>
      <c r="G37" s="42" t="n"/>
      <c r="H37" s="42" t="n"/>
      <c r="I37" s="42" t="n"/>
      <c r="J37" s="42" t="n"/>
      <c r="K37" s="42" t="n"/>
      <c r="L37" s="42" t="n"/>
      <c r="M37" s="42" t="n"/>
      <c r="N37" s="42" t="n"/>
      <c r="O37" s="42" t="n"/>
      <c r="P37" s="42" t="n"/>
      <c r="Q37" s="42" t="n"/>
      <c r="R37" s="42" t="n"/>
      <c r="S37" s="42" t="n"/>
      <c r="T37" s="42" t="n"/>
      <c r="U37" s="42" t="n"/>
      <c r="V37" s="42" t="n"/>
      <c r="W37" s="42" t="n"/>
      <c r="X37" s="42" t="n"/>
      <c r="Y37" s="42" t="n"/>
      <c r="Z37" s="42" t="n"/>
      <c r="AA37" s="42" t="n"/>
      <c r="AB37" s="42" t="n"/>
      <c r="AC37" s="42" t="n"/>
      <c r="AD37" s="42" t="n"/>
      <c r="AE37" s="42" t="n"/>
      <c r="AF37" s="42" t="n"/>
      <c r="AG37" s="42" t="n"/>
      <c r="AH37" s="42" t="n"/>
      <c r="AI37" s="42">
        <f>SUM(AI7:AI36)</f>
        <v/>
      </c>
      <c r="AJ37" s="42">
        <f>SUM(AJ7:AJ36)</f>
        <v/>
      </c>
      <c r="AK37" s="42">
        <f>SUM(AK7:AK36)</f>
        <v/>
      </c>
      <c r="AL37" s="42">
        <f>SUM(AL7:AL36)</f>
        <v/>
      </c>
      <c r="AM37" s="42">
        <f>SUM(AM7:AM36)</f>
        <v/>
      </c>
      <c r="AN37" s="42" t="n"/>
      <c r="AO37" s="43">
        <f>SUM(AO7:AO36)</f>
        <v/>
      </c>
    </row>
  </sheetData>
  <mergeCells count="17">
    <mergeCell ref="A5:A6"/>
    <mergeCell ref="A2:AO2"/>
    <mergeCell ref="AI5:AI6"/>
    <mergeCell ref="D3:G3"/>
    <mergeCell ref="S3:V3"/>
    <mergeCell ref="X3:AA3"/>
    <mergeCell ref="AJ5:AJ6"/>
    <mergeCell ref="AK5:AK6"/>
    <mergeCell ref="I3:L3"/>
    <mergeCell ref="AL5:AL6"/>
    <mergeCell ref="AM5:AM6"/>
    <mergeCell ref="AN5:AN6"/>
    <mergeCell ref="A1:AO1"/>
    <mergeCell ref="N3:Q3"/>
    <mergeCell ref="AO5:AO6"/>
    <mergeCell ref="B5:B6"/>
    <mergeCell ref="C5:C6"/>
  </mergeCells>
  <conditionalFormatting sqref="D7:AH36">
    <cfRule type="expression" priority="1" dxfId="0">
      <formula>UPPER(D7)="P"</formula>
    </cfRule>
    <cfRule type="expression" priority="2" dxfId="1">
      <formula>UPPER(D7)="R"</formula>
    </cfRule>
    <cfRule type="expression" priority="3" dxfId="2">
      <formula>UPPER(D7)="A"</formula>
    </cfRule>
    <cfRule type="expression" priority="4" dxfId="3">
      <formula>UPPER(D7)="C"</formula>
    </cfRule>
    <cfRule type="expression" priority="5" dxfId="4">
      <formula>UPPER(D7)="M"</formula>
    </cfRule>
    <cfRule type="expression" priority="6" dxfId="5">
      <formula>OR(D$6="Sam",D$6="Dim",D$5="")</formula>
    </cfRule>
  </conditionalFormatting>
  <dataValidations count="1">
    <dataValidation sqref="D7:AH36" showDropDown="0" showInputMessage="0" showErrorMessage="1" allowBlank="1" errorTitle="Code inconnu" error="Utilisez P, R, A, C ou M." type="list">
      <formula1>"P,R,A,C,M"</formula1>
    </dataValidation>
  </dataValidations>
  <pageMargins left="0.75" right="0.75" top="1" bottom="1" header="0.5" footer="0.5"/>
  <pageSetup orientation="landscape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AO37"/>
  <sheetViews>
    <sheetView zoomScale="90" workbookViewId="0">
      <pane xSplit="3" ySplit="6" topLeftCell="D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24" customWidth="1" min="2" max="2"/>
    <col width="14" customWidth="1" min="3" max="3"/>
    <col width="4.6" customWidth="1" min="4" max="4"/>
    <col width="4.6" customWidth="1" min="5" max="5"/>
    <col width="4.6" customWidth="1" min="6" max="6"/>
    <col width="4.6" customWidth="1" min="7" max="7"/>
    <col width="4.6" customWidth="1" min="8" max="8"/>
    <col width="4.6" customWidth="1" min="9" max="9"/>
    <col width="4.6" customWidth="1" min="10" max="10"/>
    <col width="4.6" customWidth="1" min="11" max="11"/>
    <col width="4.6" customWidth="1" min="12" max="12"/>
    <col width="4.6" customWidth="1" min="13" max="13"/>
    <col width="4.6" customWidth="1" min="14" max="14"/>
    <col width="4.6" customWidth="1" min="15" max="15"/>
    <col width="4.6" customWidth="1" min="16" max="16"/>
    <col width="4.6" customWidth="1" min="17" max="17"/>
    <col width="4.6" customWidth="1" min="18" max="18"/>
    <col width="4.6" customWidth="1" min="19" max="19"/>
    <col width="4.6" customWidth="1" min="20" max="20"/>
    <col width="4.6" customWidth="1" min="21" max="21"/>
    <col width="4.6" customWidth="1" min="22" max="22"/>
    <col width="4.6" customWidth="1" min="23" max="23"/>
    <col width="4.6" customWidth="1" min="24" max="24"/>
    <col width="4.6" customWidth="1" min="25" max="25"/>
    <col width="4.6" customWidth="1" min="26" max="26"/>
    <col width="4.6" customWidth="1" min="27" max="27"/>
    <col width="4.6" customWidth="1" min="28" max="28"/>
    <col width="4.6" customWidth="1" min="29" max="29"/>
    <col width="4.6" customWidth="1" min="30" max="30"/>
    <col width="4.6" customWidth="1" min="31" max="31"/>
    <col width="4.6" customWidth="1" min="32" max="32"/>
    <col width="4.6" customWidth="1" min="33" max="33"/>
    <col width="4.6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13" customWidth="1" min="40" max="40"/>
    <col width="13" customWidth="1" min="41" max="41"/>
  </cols>
  <sheetData>
    <row r="1" ht="34" customHeight="1">
      <c r="A1" s="1">
        <f>'Paramètres'!$B$4&amp;" · Pointage de Avril "&amp;'Paramètres'!$B$5</f>
        <v/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</row>
    <row r="2" ht="20" customHeight="1">
      <c r="A2" s="3" t="inlineStr">
        <is>
          <t>Outil offert par Logia (DWTS) · Un logiciel sur mesure pour votre entreprise ? WhatsApp 062 67 14 45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2" t="n"/>
      <c r="AL2" s="2" t="n"/>
      <c r="AM2" s="2" t="n"/>
      <c r="AN2" s="2" t="n"/>
      <c r="AO2" s="2" t="n"/>
    </row>
    <row r="3">
      <c r="A3" s="6" t="inlineStr">
        <is>
          <t>Codes :</t>
        </is>
      </c>
      <c r="D3" s="30" t="inlineStr">
        <is>
          <t>P = Présent</t>
        </is>
      </c>
      <c r="I3" s="31" t="inlineStr">
        <is>
          <t>R = En retard</t>
        </is>
      </c>
      <c r="N3" s="32" t="inlineStr">
        <is>
          <t>A = Absent</t>
        </is>
      </c>
      <c r="S3" s="33" t="inlineStr">
        <is>
          <t>C = Congé</t>
        </is>
      </c>
      <c r="X3" s="34" t="inlineStr">
        <is>
          <t>M = Malade</t>
        </is>
      </c>
    </row>
    <row r="5" ht="22" customHeight="1">
      <c r="A5" s="35" t="inlineStr">
        <is>
          <t>ID</t>
        </is>
      </c>
      <c r="B5" s="35" t="inlineStr">
        <is>
          <t>Nom</t>
        </is>
      </c>
      <c r="C5" s="35" t="inlineStr">
        <is>
          <t>Poste</t>
        </is>
      </c>
      <c r="D5" s="35">
        <f>IF(MONTH(DATE('Paramètres'!$B$5,4,1))=4,1,"")</f>
        <v/>
      </c>
      <c r="E5" s="35">
        <f>IF(MONTH(DATE('Paramètres'!$B$5,4,2))=4,2,"")</f>
        <v/>
      </c>
      <c r="F5" s="35">
        <f>IF(MONTH(DATE('Paramètres'!$B$5,4,3))=4,3,"")</f>
        <v/>
      </c>
      <c r="G5" s="35">
        <f>IF(MONTH(DATE('Paramètres'!$B$5,4,4))=4,4,"")</f>
        <v/>
      </c>
      <c r="H5" s="35">
        <f>IF(MONTH(DATE('Paramètres'!$B$5,4,5))=4,5,"")</f>
        <v/>
      </c>
      <c r="I5" s="35">
        <f>IF(MONTH(DATE('Paramètres'!$B$5,4,6))=4,6,"")</f>
        <v/>
      </c>
      <c r="J5" s="35">
        <f>IF(MONTH(DATE('Paramètres'!$B$5,4,7))=4,7,"")</f>
        <v/>
      </c>
      <c r="K5" s="35">
        <f>IF(MONTH(DATE('Paramètres'!$B$5,4,8))=4,8,"")</f>
        <v/>
      </c>
      <c r="L5" s="35">
        <f>IF(MONTH(DATE('Paramètres'!$B$5,4,9))=4,9,"")</f>
        <v/>
      </c>
      <c r="M5" s="35">
        <f>IF(MONTH(DATE('Paramètres'!$B$5,4,10))=4,10,"")</f>
        <v/>
      </c>
      <c r="N5" s="35">
        <f>IF(MONTH(DATE('Paramètres'!$B$5,4,11))=4,11,"")</f>
        <v/>
      </c>
      <c r="O5" s="35">
        <f>IF(MONTH(DATE('Paramètres'!$B$5,4,12))=4,12,"")</f>
        <v/>
      </c>
      <c r="P5" s="35">
        <f>IF(MONTH(DATE('Paramètres'!$B$5,4,13))=4,13,"")</f>
        <v/>
      </c>
      <c r="Q5" s="35">
        <f>IF(MONTH(DATE('Paramètres'!$B$5,4,14))=4,14,"")</f>
        <v/>
      </c>
      <c r="R5" s="35">
        <f>IF(MONTH(DATE('Paramètres'!$B$5,4,15))=4,15,"")</f>
        <v/>
      </c>
      <c r="S5" s="35">
        <f>IF(MONTH(DATE('Paramètres'!$B$5,4,16))=4,16,"")</f>
        <v/>
      </c>
      <c r="T5" s="35">
        <f>IF(MONTH(DATE('Paramètres'!$B$5,4,17))=4,17,"")</f>
        <v/>
      </c>
      <c r="U5" s="35">
        <f>IF(MONTH(DATE('Paramètres'!$B$5,4,18))=4,18,"")</f>
        <v/>
      </c>
      <c r="V5" s="35">
        <f>IF(MONTH(DATE('Paramètres'!$B$5,4,19))=4,19,"")</f>
        <v/>
      </c>
      <c r="W5" s="35">
        <f>IF(MONTH(DATE('Paramètres'!$B$5,4,20))=4,20,"")</f>
        <v/>
      </c>
      <c r="X5" s="35">
        <f>IF(MONTH(DATE('Paramètres'!$B$5,4,21))=4,21,"")</f>
        <v/>
      </c>
      <c r="Y5" s="35">
        <f>IF(MONTH(DATE('Paramètres'!$B$5,4,22))=4,22,"")</f>
        <v/>
      </c>
      <c r="Z5" s="35">
        <f>IF(MONTH(DATE('Paramètres'!$B$5,4,23))=4,23,"")</f>
        <v/>
      </c>
      <c r="AA5" s="35">
        <f>IF(MONTH(DATE('Paramètres'!$B$5,4,24))=4,24,"")</f>
        <v/>
      </c>
      <c r="AB5" s="35">
        <f>IF(MONTH(DATE('Paramètres'!$B$5,4,25))=4,25,"")</f>
        <v/>
      </c>
      <c r="AC5" s="35">
        <f>IF(MONTH(DATE('Paramètres'!$B$5,4,26))=4,26,"")</f>
        <v/>
      </c>
      <c r="AD5" s="35">
        <f>IF(MONTH(DATE('Paramètres'!$B$5,4,27))=4,27,"")</f>
        <v/>
      </c>
      <c r="AE5" s="35">
        <f>IF(MONTH(DATE('Paramètres'!$B$5,4,28))=4,28,"")</f>
        <v/>
      </c>
      <c r="AF5" s="35">
        <f>IF(MONTH(DATE('Paramètres'!$B$5,4,29))=4,29,"")</f>
        <v/>
      </c>
      <c r="AG5" s="35">
        <f>IF(MONTH(DATE('Paramètres'!$B$5,4,30))=4,30,"")</f>
        <v/>
      </c>
      <c r="AH5" s="35">
        <f>IF(MONTH(DATE('Paramètres'!$B$5,4,31))=4,31,"")</f>
        <v/>
      </c>
      <c r="AI5" s="36" t="inlineStr">
        <is>
          <t>Présent</t>
        </is>
      </c>
      <c r="AJ5" s="36" t="inlineStr">
        <is>
          <t>Retard</t>
        </is>
      </c>
      <c r="AK5" s="36" t="inlineStr">
        <is>
          <t>Absent</t>
        </is>
      </c>
      <c r="AL5" s="36" t="inlineStr">
        <is>
          <t>Congé</t>
        </is>
      </c>
      <c r="AM5" s="36" t="inlineStr">
        <is>
          <t>Malade</t>
        </is>
      </c>
      <c r="AN5" s="36" t="inlineStr">
        <is>
          <t>Taux de présence</t>
        </is>
      </c>
      <c r="AO5" s="36" t="inlineStr">
        <is>
          <t>Salaire dû</t>
        </is>
      </c>
    </row>
    <row r="6" ht="22" customHeight="1">
      <c r="A6" s="35" t="n"/>
      <c r="B6" s="35" t="n"/>
      <c r="C6" s="35" t="n"/>
      <c r="D6" s="35">
        <f>IF(D5="","",CHOOSE(WEEKDAY(DATE('Paramètres'!$B$5,4,1),2),"Lun","Mar","Mer","Jeu","Ven","Sam","Dim"))</f>
        <v/>
      </c>
      <c r="E6" s="35">
        <f>IF(E5="","",CHOOSE(WEEKDAY(DATE('Paramètres'!$B$5,4,2),2),"Lun","Mar","Mer","Jeu","Ven","Sam","Dim"))</f>
        <v/>
      </c>
      <c r="F6" s="35">
        <f>IF(F5="","",CHOOSE(WEEKDAY(DATE('Paramètres'!$B$5,4,3),2),"Lun","Mar","Mer","Jeu","Ven","Sam","Dim"))</f>
        <v/>
      </c>
      <c r="G6" s="35">
        <f>IF(G5="","",CHOOSE(WEEKDAY(DATE('Paramètres'!$B$5,4,4),2),"Lun","Mar","Mer","Jeu","Ven","Sam","Dim"))</f>
        <v/>
      </c>
      <c r="H6" s="35">
        <f>IF(H5="","",CHOOSE(WEEKDAY(DATE('Paramètres'!$B$5,4,5),2),"Lun","Mar","Mer","Jeu","Ven","Sam","Dim"))</f>
        <v/>
      </c>
      <c r="I6" s="35">
        <f>IF(I5="","",CHOOSE(WEEKDAY(DATE('Paramètres'!$B$5,4,6),2),"Lun","Mar","Mer","Jeu","Ven","Sam","Dim"))</f>
        <v/>
      </c>
      <c r="J6" s="35">
        <f>IF(J5="","",CHOOSE(WEEKDAY(DATE('Paramètres'!$B$5,4,7),2),"Lun","Mar","Mer","Jeu","Ven","Sam","Dim"))</f>
        <v/>
      </c>
      <c r="K6" s="35">
        <f>IF(K5="","",CHOOSE(WEEKDAY(DATE('Paramètres'!$B$5,4,8),2),"Lun","Mar","Mer","Jeu","Ven","Sam","Dim"))</f>
        <v/>
      </c>
      <c r="L6" s="35">
        <f>IF(L5="","",CHOOSE(WEEKDAY(DATE('Paramètres'!$B$5,4,9),2),"Lun","Mar","Mer","Jeu","Ven","Sam","Dim"))</f>
        <v/>
      </c>
      <c r="M6" s="35">
        <f>IF(M5="","",CHOOSE(WEEKDAY(DATE('Paramètres'!$B$5,4,10),2),"Lun","Mar","Mer","Jeu","Ven","Sam","Dim"))</f>
        <v/>
      </c>
      <c r="N6" s="35">
        <f>IF(N5="","",CHOOSE(WEEKDAY(DATE('Paramètres'!$B$5,4,11),2),"Lun","Mar","Mer","Jeu","Ven","Sam","Dim"))</f>
        <v/>
      </c>
      <c r="O6" s="35">
        <f>IF(O5="","",CHOOSE(WEEKDAY(DATE('Paramètres'!$B$5,4,12),2),"Lun","Mar","Mer","Jeu","Ven","Sam","Dim"))</f>
        <v/>
      </c>
      <c r="P6" s="35">
        <f>IF(P5="","",CHOOSE(WEEKDAY(DATE('Paramètres'!$B$5,4,13),2),"Lun","Mar","Mer","Jeu","Ven","Sam","Dim"))</f>
        <v/>
      </c>
      <c r="Q6" s="35">
        <f>IF(Q5="","",CHOOSE(WEEKDAY(DATE('Paramètres'!$B$5,4,14),2),"Lun","Mar","Mer","Jeu","Ven","Sam","Dim"))</f>
        <v/>
      </c>
      <c r="R6" s="35">
        <f>IF(R5="","",CHOOSE(WEEKDAY(DATE('Paramètres'!$B$5,4,15),2),"Lun","Mar","Mer","Jeu","Ven","Sam","Dim"))</f>
        <v/>
      </c>
      <c r="S6" s="35">
        <f>IF(S5="","",CHOOSE(WEEKDAY(DATE('Paramètres'!$B$5,4,16),2),"Lun","Mar","Mer","Jeu","Ven","Sam","Dim"))</f>
        <v/>
      </c>
      <c r="T6" s="35">
        <f>IF(T5="","",CHOOSE(WEEKDAY(DATE('Paramètres'!$B$5,4,17),2),"Lun","Mar","Mer","Jeu","Ven","Sam","Dim"))</f>
        <v/>
      </c>
      <c r="U6" s="35">
        <f>IF(U5="","",CHOOSE(WEEKDAY(DATE('Paramètres'!$B$5,4,18),2),"Lun","Mar","Mer","Jeu","Ven","Sam","Dim"))</f>
        <v/>
      </c>
      <c r="V6" s="35">
        <f>IF(V5="","",CHOOSE(WEEKDAY(DATE('Paramètres'!$B$5,4,19),2),"Lun","Mar","Mer","Jeu","Ven","Sam","Dim"))</f>
        <v/>
      </c>
      <c r="W6" s="35">
        <f>IF(W5="","",CHOOSE(WEEKDAY(DATE('Paramètres'!$B$5,4,20),2),"Lun","Mar","Mer","Jeu","Ven","Sam","Dim"))</f>
        <v/>
      </c>
      <c r="X6" s="35">
        <f>IF(X5="","",CHOOSE(WEEKDAY(DATE('Paramètres'!$B$5,4,21),2),"Lun","Mar","Mer","Jeu","Ven","Sam","Dim"))</f>
        <v/>
      </c>
      <c r="Y6" s="35">
        <f>IF(Y5="","",CHOOSE(WEEKDAY(DATE('Paramètres'!$B$5,4,22),2),"Lun","Mar","Mer","Jeu","Ven","Sam","Dim"))</f>
        <v/>
      </c>
      <c r="Z6" s="35">
        <f>IF(Z5="","",CHOOSE(WEEKDAY(DATE('Paramètres'!$B$5,4,23),2),"Lun","Mar","Mer","Jeu","Ven","Sam","Dim"))</f>
        <v/>
      </c>
      <c r="AA6" s="35">
        <f>IF(AA5="","",CHOOSE(WEEKDAY(DATE('Paramètres'!$B$5,4,24),2),"Lun","Mar","Mer","Jeu","Ven","Sam","Dim"))</f>
        <v/>
      </c>
      <c r="AB6" s="35">
        <f>IF(AB5="","",CHOOSE(WEEKDAY(DATE('Paramètres'!$B$5,4,25),2),"Lun","Mar","Mer","Jeu","Ven","Sam","Dim"))</f>
        <v/>
      </c>
      <c r="AC6" s="35">
        <f>IF(AC5="","",CHOOSE(WEEKDAY(DATE('Paramètres'!$B$5,4,26),2),"Lun","Mar","Mer","Jeu","Ven","Sam","Dim"))</f>
        <v/>
      </c>
      <c r="AD6" s="35">
        <f>IF(AD5="","",CHOOSE(WEEKDAY(DATE('Paramètres'!$B$5,4,27),2),"Lun","Mar","Mer","Jeu","Ven","Sam","Dim"))</f>
        <v/>
      </c>
      <c r="AE6" s="35">
        <f>IF(AE5="","",CHOOSE(WEEKDAY(DATE('Paramètres'!$B$5,4,28),2),"Lun","Mar","Mer","Jeu","Ven","Sam","Dim"))</f>
        <v/>
      </c>
      <c r="AF6" s="35">
        <f>IF(AF5="","",CHOOSE(WEEKDAY(DATE('Paramètres'!$B$5,4,29),2),"Lun","Mar","Mer","Jeu","Ven","Sam","Dim"))</f>
        <v/>
      </c>
      <c r="AG6" s="35">
        <f>IF(AG5="","",CHOOSE(WEEKDAY(DATE('Paramètres'!$B$5,4,30),2),"Lun","Mar","Mer","Jeu","Ven","Sam","Dim"))</f>
        <v/>
      </c>
      <c r="AH6" s="35">
        <f>IF(AH5="","",CHOOSE(WEEKDAY(DATE('Paramètres'!$B$5,4,31),2),"Lun","Mar","Mer","Jeu","Ven","Sam","Dim"))</f>
        <v/>
      </c>
      <c r="AI6" s="36" t="n"/>
      <c r="AJ6" s="36" t="n"/>
      <c r="AK6" s="36" t="n"/>
      <c r="AL6" s="36" t="n"/>
      <c r="AM6" s="36" t="n"/>
      <c r="AN6" s="36" t="n"/>
      <c r="AO6" s="36" t="n"/>
    </row>
    <row r="7" ht="20" customHeight="1">
      <c r="A7" s="37">
        <f>IF('Employés'!B5="","",'Employés'!A5)</f>
        <v/>
      </c>
      <c r="B7" s="38">
        <f>IF('Employés'!B5="","",'Employés'!B5)</f>
        <v/>
      </c>
      <c r="C7" s="38">
        <f>IF('Employés'!C5="","",'Employés'!C5)</f>
        <v/>
      </c>
      <c r="D7" s="37" t="n"/>
      <c r="E7" s="37" t="n"/>
      <c r="F7" s="37" t="n"/>
      <c r="G7" s="37" t="n"/>
      <c r="H7" s="37" t="n"/>
      <c r="I7" s="37" t="n"/>
      <c r="J7" s="37" t="n"/>
      <c r="K7" s="37" t="n"/>
      <c r="L7" s="37" t="n"/>
      <c r="M7" s="37" t="n"/>
      <c r="N7" s="37" t="n"/>
      <c r="O7" s="37" t="n"/>
      <c r="P7" s="37" t="n"/>
      <c r="Q7" s="37" t="n"/>
      <c r="R7" s="37" t="n"/>
      <c r="S7" s="37" t="n"/>
      <c r="T7" s="37" t="n"/>
      <c r="U7" s="37" t="n"/>
      <c r="V7" s="37" t="n"/>
      <c r="W7" s="37" t="n"/>
      <c r="X7" s="37" t="n"/>
      <c r="Y7" s="37" t="n"/>
      <c r="Z7" s="37" t="n"/>
      <c r="AA7" s="37" t="n"/>
      <c r="AB7" s="37" t="n"/>
      <c r="AC7" s="37" t="n"/>
      <c r="AD7" s="37" t="n"/>
      <c r="AE7" s="37" t="n"/>
      <c r="AF7" s="37" t="n"/>
      <c r="AG7" s="37" t="n"/>
      <c r="AH7" s="37" t="n"/>
      <c r="AI7" s="39">
        <f>IF($B7="","",COUNTIF(D7:AH7,"P"))</f>
        <v/>
      </c>
      <c r="AJ7" s="39">
        <f>IF($B7="","",COUNTIF(D7:AH7,"R"))</f>
        <v/>
      </c>
      <c r="AK7" s="39">
        <f>IF($B7="","",COUNTIF(D7:AH7,"A"))</f>
        <v/>
      </c>
      <c r="AL7" s="39">
        <f>IF($B7="","",COUNTIF(D7:AH7,"C"))</f>
        <v/>
      </c>
      <c r="AM7" s="39">
        <f>IF($B7="","",COUNTIF(D7:AH7,"M"))</f>
        <v/>
      </c>
      <c r="AN7" s="40">
        <f>IF($B7="","",IF(AI7+AJ7+AK7+AM7=0,"",(AI7+AJ7)/(AI7+AJ7+AK7+AM7)))</f>
        <v/>
      </c>
      <c r="AO7" s="41">
        <f>IF($B7="","",IF('Employés'!D5="","",(AI7+AJ7+AL7)*'Employés'!D5))</f>
        <v/>
      </c>
    </row>
    <row r="8" ht="20" customHeight="1">
      <c r="A8" s="37">
        <f>IF('Employés'!B6="","",'Employés'!A6)</f>
        <v/>
      </c>
      <c r="B8" s="38">
        <f>IF('Employés'!B6="","",'Employés'!B6)</f>
        <v/>
      </c>
      <c r="C8" s="38">
        <f>IF('Employés'!C6="","",'Employés'!C6)</f>
        <v/>
      </c>
      <c r="D8" s="37" t="n"/>
      <c r="E8" s="37" t="n"/>
      <c r="F8" s="37" t="n"/>
      <c r="G8" s="37" t="n"/>
      <c r="H8" s="37" t="n"/>
      <c r="I8" s="37" t="n"/>
      <c r="J8" s="37" t="n"/>
      <c r="K8" s="37" t="n"/>
      <c r="L8" s="37" t="n"/>
      <c r="M8" s="37" t="n"/>
      <c r="N8" s="37" t="n"/>
      <c r="O8" s="37" t="n"/>
      <c r="P8" s="37" t="n"/>
      <c r="Q8" s="37" t="n"/>
      <c r="R8" s="37" t="n"/>
      <c r="S8" s="37" t="n"/>
      <c r="T8" s="37" t="n"/>
      <c r="U8" s="37" t="n"/>
      <c r="V8" s="37" t="n"/>
      <c r="W8" s="37" t="n"/>
      <c r="X8" s="37" t="n"/>
      <c r="Y8" s="37" t="n"/>
      <c r="Z8" s="37" t="n"/>
      <c r="AA8" s="37" t="n"/>
      <c r="AB8" s="37" t="n"/>
      <c r="AC8" s="37" t="n"/>
      <c r="AD8" s="37" t="n"/>
      <c r="AE8" s="37" t="n"/>
      <c r="AF8" s="37" t="n"/>
      <c r="AG8" s="37" t="n"/>
      <c r="AH8" s="37" t="n"/>
      <c r="AI8" s="39">
        <f>IF($B8="","",COUNTIF(D8:AH8,"P"))</f>
        <v/>
      </c>
      <c r="AJ8" s="39">
        <f>IF($B8="","",COUNTIF(D8:AH8,"R"))</f>
        <v/>
      </c>
      <c r="AK8" s="39">
        <f>IF($B8="","",COUNTIF(D8:AH8,"A"))</f>
        <v/>
      </c>
      <c r="AL8" s="39">
        <f>IF($B8="","",COUNTIF(D8:AH8,"C"))</f>
        <v/>
      </c>
      <c r="AM8" s="39">
        <f>IF($B8="","",COUNTIF(D8:AH8,"M"))</f>
        <v/>
      </c>
      <c r="AN8" s="40">
        <f>IF($B8="","",IF(AI8+AJ8+AK8+AM8=0,"",(AI8+AJ8)/(AI8+AJ8+AK8+AM8)))</f>
        <v/>
      </c>
      <c r="AO8" s="41">
        <f>IF($B8="","",IF('Employés'!D6="","",(AI8+AJ8+AL8)*'Employés'!D6))</f>
        <v/>
      </c>
    </row>
    <row r="9" ht="20" customHeight="1">
      <c r="A9" s="37">
        <f>IF('Employés'!B7="","",'Employés'!A7)</f>
        <v/>
      </c>
      <c r="B9" s="38">
        <f>IF('Employés'!B7="","",'Employés'!B7)</f>
        <v/>
      </c>
      <c r="C9" s="38">
        <f>IF('Employés'!C7="","",'Employés'!C7)</f>
        <v/>
      </c>
      <c r="D9" s="37" t="n"/>
      <c r="E9" s="37" t="n"/>
      <c r="F9" s="37" t="n"/>
      <c r="G9" s="37" t="n"/>
      <c r="H9" s="37" t="n"/>
      <c r="I9" s="37" t="n"/>
      <c r="J9" s="37" t="n"/>
      <c r="K9" s="37" t="n"/>
      <c r="L9" s="37" t="n"/>
      <c r="M9" s="37" t="n"/>
      <c r="N9" s="37" t="n"/>
      <c r="O9" s="37" t="n"/>
      <c r="P9" s="37" t="n"/>
      <c r="Q9" s="37" t="n"/>
      <c r="R9" s="37" t="n"/>
      <c r="S9" s="37" t="n"/>
      <c r="T9" s="37" t="n"/>
      <c r="U9" s="37" t="n"/>
      <c r="V9" s="37" t="n"/>
      <c r="W9" s="37" t="n"/>
      <c r="X9" s="37" t="n"/>
      <c r="Y9" s="37" t="n"/>
      <c r="Z9" s="37" t="n"/>
      <c r="AA9" s="37" t="n"/>
      <c r="AB9" s="37" t="n"/>
      <c r="AC9" s="37" t="n"/>
      <c r="AD9" s="37" t="n"/>
      <c r="AE9" s="37" t="n"/>
      <c r="AF9" s="37" t="n"/>
      <c r="AG9" s="37" t="n"/>
      <c r="AH9" s="37" t="n"/>
      <c r="AI9" s="39">
        <f>IF($B9="","",COUNTIF(D9:AH9,"P"))</f>
        <v/>
      </c>
      <c r="AJ9" s="39">
        <f>IF($B9="","",COUNTIF(D9:AH9,"R"))</f>
        <v/>
      </c>
      <c r="AK9" s="39">
        <f>IF($B9="","",COUNTIF(D9:AH9,"A"))</f>
        <v/>
      </c>
      <c r="AL9" s="39">
        <f>IF($B9="","",COUNTIF(D9:AH9,"C"))</f>
        <v/>
      </c>
      <c r="AM9" s="39">
        <f>IF($B9="","",COUNTIF(D9:AH9,"M"))</f>
        <v/>
      </c>
      <c r="AN9" s="40">
        <f>IF($B9="","",IF(AI9+AJ9+AK9+AM9=0,"",(AI9+AJ9)/(AI9+AJ9+AK9+AM9)))</f>
        <v/>
      </c>
      <c r="AO9" s="41">
        <f>IF($B9="","",IF('Employés'!D7="","",(AI9+AJ9+AL9)*'Employés'!D7))</f>
        <v/>
      </c>
    </row>
    <row r="10" ht="20" customHeight="1">
      <c r="A10" s="37">
        <f>IF('Employés'!B8="","",'Employés'!A8)</f>
        <v/>
      </c>
      <c r="B10" s="38">
        <f>IF('Employés'!B8="","",'Employés'!B8)</f>
        <v/>
      </c>
      <c r="C10" s="38">
        <f>IF('Employés'!C8="","",'Employés'!C8)</f>
        <v/>
      </c>
      <c r="D10" s="37" t="n"/>
      <c r="E10" s="37" t="n"/>
      <c r="F10" s="37" t="n"/>
      <c r="G10" s="37" t="n"/>
      <c r="H10" s="37" t="n"/>
      <c r="I10" s="37" t="n"/>
      <c r="J10" s="37" t="n"/>
      <c r="K10" s="37" t="n"/>
      <c r="L10" s="37" t="n"/>
      <c r="M10" s="37" t="n"/>
      <c r="N10" s="37" t="n"/>
      <c r="O10" s="37" t="n"/>
      <c r="P10" s="37" t="n"/>
      <c r="Q10" s="37" t="n"/>
      <c r="R10" s="37" t="n"/>
      <c r="S10" s="37" t="n"/>
      <c r="T10" s="37" t="n"/>
      <c r="U10" s="37" t="n"/>
      <c r="V10" s="37" t="n"/>
      <c r="W10" s="37" t="n"/>
      <c r="X10" s="37" t="n"/>
      <c r="Y10" s="37" t="n"/>
      <c r="Z10" s="37" t="n"/>
      <c r="AA10" s="37" t="n"/>
      <c r="AB10" s="37" t="n"/>
      <c r="AC10" s="37" t="n"/>
      <c r="AD10" s="37" t="n"/>
      <c r="AE10" s="37" t="n"/>
      <c r="AF10" s="37" t="n"/>
      <c r="AG10" s="37" t="n"/>
      <c r="AH10" s="37" t="n"/>
      <c r="AI10" s="39">
        <f>IF($B10="","",COUNTIF(D10:AH10,"P"))</f>
        <v/>
      </c>
      <c r="AJ10" s="39">
        <f>IF($B10="","",COUNTIF(D10:AH10,"R"))</f>
        <v/>
      </c>
      <c r="AK10" s="39">
        <f>IF($B10="","",COUNTIF(D10:AH10,"A"))</f>
        <v/>
      </c>
      <c r="AL10" s="39">
        <f>IF($B10="","",COUNTIF(D10:AH10,"C"))</f>
        <v/>
      </c>
      <c r="AM10" s="39">
        <f>IF($B10="","",COUNTIF(D10:AH10,"M"))</f>
        <v/>
      </c>
      <c r="AN10" s="40">
        <f>IF($B10="","",IF(AI10+AJ10+AK10+AM10=0,"",(AI10+AJ10)/(AI10+AJ10+AK10+AM10)))</f>
        <v/>
      </c>
      <c r="AO10" s="41">
        <f>IF($B10="","",IF('Employés'!D8="","",(AI10+AJ10+AL10)*'Employés'!D8))</f>
        <v/>
      </c>
    </row>
    <row r="11" ht="20" customHeight="1">
      <c r="A11" s="37">
        <f>IF('Employés'!B9="","",'Employés'!A9)</f>
        <v/>
      </c>
      <c r="B11" s="38">
        <f>IF('Employés'!B9="","",'Employés'!B9)</f>
        <v/>
      </c>
      <c r="C11" s="38">
        <f>IF('Employés'!C9="","",'Employés'!C9)</f>
        <v/>
      </c>
      <c r="D11" s="37" t="n"/>
      <c r="E11" s="37" t="n"/>
      <c r="F11" s="37" t="n"/>
      <c r="G11" s="37" t="n"/>
      <c r="H11" s="37" t="n"/>
      <c r="I11" s="37" t="n"/>
      <c r="J11" s="37" t="n"/>
      <c r="K11" s="37" t="n"/>
      <c r="L11" s="37" t="n"/>
      <c r="M11" s="37" t="n"/>
      <c r="N11" s="37" t="n"/>
      <c r="O11" s="37" t="n"/>
      <c r="P11" s="37" t="n"/>
      <c r="Q11" s="37" t="n"/>
      <c r="R11" s="37" t="n"/>
      <c r="S11" s="37" t="n"/>
      <c r="T11" s="37" t="n"/>
      <c r="U11" s="37" t="n"/>
      <c r="V11" s="37" t="n"/>
      <c r="W11" s="37" t="n"/>
      <c r="X11" s="37" t="n"/>
      <c r="Y11" s="37" t="n"/>
      <c r="Z11" s="37" t="n"/>
      <c r="AA11" s="37" t="n"/>
      <c r="AB11" s="37" t="n"/>
      <c r="AC11" s="37" t="n"/>
      <c r="AD11" s="37" t="n"/>
      <c r="AE11" s="37" t="n"/>
      <c r="AF11" s="37" t="n"/>
      <c r="AG11" s="37" t="n"/>
      <c r="AH11" s="37" t="n"/>
      <c r="AI11" s="39">
        <f>IF($B11="","",COUNTIF(D11:AH11,"P"))</f>
        <v/>
      </c>
      <c r="AJ11" s="39">
        <f>IF($B11="","",COUNTIF(D11:AH11,"R"))</f>
        <v/>
      </c>
      <c r="AK11" s="39">
        <f>IF($B11="","",COUNTIF(D11:AH11,"A"))</f>
        <v/>
      </c>
      <c r="AL11" s="39">
        <f>IF($B11="","",COUNTIF(D11:AH11,"C"))</f>
        <v/>
      </c>
      <c r="AM11" s="39">
        <f>IF($B11="","",COUNTIF(D11:AH11,"M"))</f>
        <v/>
      </c>
      <c r="AN11" s="40">
        <f>IF($B11="","",IF(AI11+AJ11+AK11+AM11=0,"",(AI11+AJ11)/(AI11+AJ11+AK11+AM11)))</f>
        <v/>
      </c>
      <c r="AO11" s="41">
        <f>IF($B11="","",IF('Employés'!D9="","",(AI11+AJ11+AL11)*'Employés'!D9))</f>
        <v/>
      </c>
    </row>
    <row r="12" ht="20" customHeight="1">
      <c r="A12" s="37">
        <f>IF('Employés'!B10="","",'Employés'!A10)</f>
        <v/>
      </c>
      <c r="B12" s="38">
        <f>IF('Employés'!B10="","",'Employés'!B10)</f>
        <v/>
      </c>
      <c r="C12" s="38">
        <f>IF('Employés'!C10="","",'Employés'!C10)</f>
        <v/>
      </c>
      <c r="D12" s="37" t="n"/>
      <c r="E12" s="37" t="n"/>
      <c r="F12" s="37" t="n"/>
      <c r="G12" s="37" t="n"/>
      <c r="H12" s="37" t="n"/>
      <c r="I12" s="37" t="n"/>
      <c r="J12" s="37" t="n"/>
      <c r="K12" s="37" t="n"/>
      <c r="L12" s="37" t="n"/>
      <c r="M12" s="37" t="n"/>
      <c r="N12" s="37" t="n"/>
      <c r="O12" s="37" t="n"/>
      <c r="P12" s="37" t="n"/>
      <c r="Q12" s="37" t="n"/>
      <c r="R12" s="37" t="n"/>
      <c r="S12" s="37" t="n"/>
      <c r="T12" s="37" t="n"/>
      <c r="U12" s="37" t="n"/>
      <c r="V12" s="37" t="n"/>
      <c r="W12" s="37" t="n"/>
      <c r="X12" s="37" t="n"/>
      <c r="Y12" s="37" t="n"/>
      <c r="Z12" s="37" t="n"/>
      <c r="AA12" s="37" t="n"/>
      <c r="AB12" s="37" t="n"/>
      <c r="AC12" s="37" t="n"/>
      <c r="AD12" s="37" t="n"/>
      <c r="AE12" s="37" t="n"/>
      <c r="AF12" s="37" t="n"/>
      <c r="AG12" s="37" t="n"/>
      <c r="AH12" s="37" t="n"/>
      <c r="AI12" s="39">
        <f>IF($B12="","",COUNTIF(D12:AH12,"P"))</f>
        <v/>
      </c>
      <c r="AJ12" s="39">
        <f>IF($B12="","",COUNTIF(D12:AH12,"R"))</f>
        <v/>
      </c>
      <c r="AK12" s="39">
        <f>IF($B12="","",COUNTIF(D12:AH12,"A"))</f>
        <v/>
      </c>
      <c r="AL12" s="39">
        <f>IF($B12="","",COUNTIF(D12:AH12,"C"))</f>
        <v/>
      </c>
      <c r="AM12" s="39">
        <f>IF($B12="","",COUNTIF(D12:AH12,"M"))</f>
        <v/>
      </c>
      <c r="AN12" s="40">
        <f>IF($B12="","",IF(AI12+AJ12+AK12+AM12=0,"",(AI12+AJ12)/(AI12+AJ12+AK12+AM12)))</f>
        <v/>
      </c>
      <c r="AO12" s="41">
        <f>IF($B12="","",IF('Employés'!D10="","",(AI12+AJ12+AL12)*'Employés'!D10))</f>
        <v/>
      </c>
    </row>
    <row r="13" ht="20" customHeight="1">
      <c r="A13" s="37">
        <f>IF('Employés'!B11="","",'Employés'!A11)</f>
        <v/>
      </c>
      <c r="B13" s="38">
        <f>IF('Employés'!B11="","",'Employés'!B11)</f>
        <v/>
      </c>
      <c r="C13" s="38">
        <f>IF('Employés'!C11="","",'Employés'!C11)</f>
        <v/>
      </c>
      <c r="D13" s="37" t="n"/>
      <c r="E13" s="37" t="n"/>
      <c r="F13" s="37" t="n"/>
      <c r="G13" s="37" t="n"/>
      <c r="H13" s="37" t="n"/>
      <c r="I13" s="37" t="n"/>
      <c r="J13" s="37" t="n"/>
      <c r="K13" s="37" t="n"/>
      <c r="L13" s="37" t="n"/>
      <c r="M13" s="37" t="n"/>
      <c r="N13" s="37" t="n"/>
      <c r="O13" s="37" t="n"/>
      <c r="P13" s="37" t="n"/>
      <c r="Q13" s="37" t="n"/>
      <c r="R13" s="37" t="n"/>
      <c r="S13" s="37" t="n"/>
      <c r="T13" s="37" t="n"/>
      <c r="U13" s="37" t="n"/>
      <c r="V13" s="37" t="n"/>
      <c r="W13" s="37" t="n"/>
      <c r="X13" s="37" t="n"/>
      <c r="Y13" s="37" t="n"/>
      <c r="Z13" s="37" t="n"/>
      <c r="AA13" s="37" t="n"/>
      <c r="AB13" s="37" t="n"/>
      <c r="AC13" s="37" t="n"/>
      <c r="AD13" s="37" t="n"/>
      <c r="AE13" s="37" t="n"/>
      <c r="AF13" s="37" t="n"/>
      <c r="AG13" s="37" t="n"/>
      <c r="AH13" s="37" t="n"/>
      <c r="AI13" s="39">
        <f>IF($B13="","",COUNTIF(D13:AH13,"P"))</f>
        <v/>
      </c>
      <c r="AJ13" s="39">
        <f>IF($B13="","",COUNTIF(D13:AH13,"R"))</f>
        <v/>
      </c>
      <c r="AK13" s="39">
        <f>IF($B13="","",COUNTIF(D13:AH13,"A"))</f>
        <v/>
      </c>
      <c r="AL13" s="39">
        <f>IF($B13="","",COUNTIF(D13:AH13,"C"))</f>
        <v/>
      </c>
      <c r="AM13" s="39">
        <f>IF($B13="","",COUNTIF(D13:AH13,"M"))</f>
        <v/>
      </c>
      <c r="AN13" s="40">
        <f>IF($B13="","",IF(AI13+AJ13+AK13+AM13=0,"",(AI13+AJ13)/(AI13+AJ13+AK13+AM13)))</f>
        <v/>
      </c>
      <c r="AO13" s="41">
        <f>IF($B13="","",IF('Employés'!D11="","",(AI13+AJ13+AL13)*'Employés'!D11))</f>
        <v/>
      </c>
    </row>
    <row r="14" ht="20" customHeight="1">
      <c r="A14" s="37">
        <f>IF('Employés'!B12="","",'Employés'!A12)</f>
        <v/>
      </c>
      <c r="B14" s="38">
        <f>IF('Employés'!B12="","",'Employés'!B12)</f>
        <v/>
      </c>
      <c r="C14" s="38">
        <f>IF('Employés'!C12="","",'Employés'!C12)</f>
        <v/>
      </c>
      <c r="D14" s="37" t="n"/>
      <c r="E14" s="37" t="n"/>
      <c r="F14" s="37" t="n"/>
      <c r="G14" s="37" t="n"/>
      <c r="H14" s="37" t="n"/>
      <c r="I14" s="37" t="n"/>
      <c r="J14" s="37" t="n"/>
      <c r="K14" s="37" t="n"/>
      <c r="L14" s="37" t="n"/>
      <c r="M14" s="37" t="n"/>
      <c r="N14" s="37" t="n"/>
      <c r="O14" s="37" t="n"/>
      <c r="P14" s="37" t="n"/>
      <c r="Q14" s="37" t="n"/>
      <c r="R14" s="37" t="n"/>
      <c r="S14" s="37" t="n"/>
      <c r="T14" s="37" t="n"/>
      <c r="U14" s="37" t="n"/>
      <c r="V14" s="37" t="n"/>
      <c r="W14" s="37" t="n"/>
      <c r="X14" s="37" t="n"/>
      <c r="Y14" s="37" t="n"/>
      <c r="Z14" s="37" t="n"/>
      <c r="AA14" s="37" t="n"/>
      <c r="AB14" s="37" t="n"/>
      <c r="AC14" s="37" t="n"/>
      <c r="AD14" s="37" t="n"/>
      <c r="AE14" s="37" t="n"/>
      <c r="AF14" s="37" t="n"/>
      <c r="AG14" s="37" t="n"/>
      <c r="AH14" s="37" t="n"/>
      <c r="AI14" s="39">
        <f>IF($B14="","",COUNTIF(D14:AH14,"P"))</f>
        <v/>
      </c>
      <c r="AJ14" s="39">
        <f>IF($B14="","",COUNTIF(D14:AH14,"R"))</f>
        <v/>
      </c>
      <c r="AK14" s="39">
        <f>IF($B14="","",COUNTIF(D14:AH14,"A"))</f>
        <v/>
      </c>
      <c r="AL14" s="39">
        <f>IF($B14="","",COUNTIF(D14:AH14,"C"))</f>
        <v/>
      </c>
      <c r="AM14" s="39">
        <f>IF($B14="","",COUNTIF(D14:AH14,"M"))</f>
        <v/>
      </c>
      <c r="AN14" s="40">
        <f>IF($B14="","",IF(AI14+AJ14+AK14+AM14=0,"",(AI14+AJ14)/(AI14+AJ14+AK14+AM14)))</f>
        <v/>
      </c>
      <c r="AO14" s="41">
        <f>IF($B14="","",IF('Employés'!D12="","",(AI14+AJ14+AL14)*'Employés'!D12))</f>
        <v/>
      </c>
    </row>
    <row r="15" ht="20" customHeight="1">
      <c r="A15" s="37">
        <f>IF('Employés'!B13="","",'Employés'!A13)</f>
        <v/>
      </c>
      <c r="B15" s="38">
        <f>IF('Employés'!B13="","",'Employés'!B13)</f>
        <v/>
      </c>
      <c r="C15" s="38">
        <f>IF('Employés'!C13="","",'Employés'!C13)</f>
        <v/>
      </c>
      <c r="D15" s="37" t="n"/>
      <c r="E15" s="37" t="n"/>
      <c r="F15" s="37" t="n"/>
      <c r="G15" s="37" t="n"/>
      <c r="H15" s="37" t="n"/>
      <c r="I15" s="37" t="n"/>
      <c r="J15" s="37" t="n"/>
      <c r="K15" s="37" t="n"/>
      <c r="L15" s="37" t="n"/>
      <c r="M15" s="37" t="n"/>
      <c r="N15" s="37" t="n"/>
      <c r="O15" s="37" t="n"/>
      <c r="P15" s="37" t="n"/>
      <c r="Q15" s="37" t="n"/>
      <c r="R15" s="37" t="n"/>
      <c r="S15" s="37" t="n"/>
      <c r="T15" s="37" t="n"/>
      <c r="U15" s="37" t="n"/>
      <c r="V15" s="37" t="n"/>
      <c r="W15" s="37" t="n"/>
      <c r="X15" s="37" t="n"/>
      <c r="Y15" s="37" t="n"/>
      <c r="Z15" s="37" t="n"/>
      <c r="AA15" s="37" t="n"/>
      <c r="AB15" s="37" t="n"/>
      <c r="AC15" s="37" t="n"/>
      <c r="AD15" s="37" t="n"/>
      <c r="AE15" s="37" t="n"/>
      <c r="AF15" s="37" t="n"/>
      <c r="AG15" s="37" t="n"/>
      <c r="AH15" s="37" t="n"/>
      <c r="AI15" s="39">
        <f>IF($B15="","",COUNTIF(D15:AH15,"P"))</f>
        <v/>
      </c>
      <c r="AJ15" s="39">
        <f>IF($B15="","",COUNTIF(D15:AH15,"R"))</f>
        <v/>
      </c>
      <c r="AK15" s="39">
        <f>IF($B15="","",COUNTIF(D15:AH15,"A"))</f>
        <v/>
      </c>
      <c r="AL15" s="39">
        <f>IF($B15="","",COUNTIF(D15:AH15,"C"))</f>
        <v/>
      </c>
      <c r="AM15" s="39">
        <f>IF($B15="","",COUNTIF(D15:AH15,"M"))</f>
        <v/>
      </c>
      <c r="AN15" s="40">
        <f>IF($B15="","",IF(AI15+AJ15+AK15+AM15=0,"",(AI15+AJ15)/(AI15+AJ15+AK15+AM15)))</f>
        <v/>
      </c>
      <c r="AO15" s="41">
        <f>IF($B15="","",IF('Employés'!D13="","",(AI15+AJ15+AL15)*'Employés'!D13))</f>
        <v/>
      </c>
    </row>
    <row r="16" ht="20" customHeight="1">
      <c r="A16" s="37">
        <f>IF('Employés'!B14="","",'Employés'!A14)</f>
        <v/>
      </c>
      <c r="B16" s="38">
        <f>IF('Employés'!B14="","",'Employés'!B14)</f>
        <v/>
      </c>
      <c r="C16" s="38">
        <f>IF('Employés'!C14="","",'Employés'!C14)</f>
        <v/>
      </c>
      <c r="D16" s="37" t="n"/>
      <c r="E16" s="37" t="n"/>
      <c r="F16" s="37" t="n"/>
      <c r="G16" s="37" t="n"/>
      <c r="H16" s="37" t="n"/>
      <c r="I16" s="37" t="n"/>
      <c r="J16" s="37" t="n"/>
      <c r="K16" s="37" t="n"/>
      <c r="L16" s="37" t="n"/>
      <c r="M16" s="37" t="n"/>
      <c r="N16" s="37" t="n"/>
      <c r="O16" s="37" t="n"/>
      <c r="P16" s="37" t="n"/>
      <c r="Q16" s="37" t="n"/>
      <c r="R16" s="37" t="n"/>
      <c r="S16" s="37" t="n"/>
      <c r="T16" s="37" t="n"/>
      <c r="U16" s="37" t="n"/>
      <c r="V16" s="37" t="n"/>
      <c r="W16" s="37" t="n"/>
      <c r="X16" s="37" t="n"/>
      <c r="Y16" s="37" t="n"/>
      <c r="Z16" s="37" t="n"/>
      <c r="AA16" s="37" t="n"/>
      <c r="AB16" s="37" t="n"/>
      <c r="AC16" s="37" t="n"/>
      <c r="AD16" s="37" t="n"/>
      <c r="AE16" s="37" t="n"/>
      <c r="AF16" s="37" t="n"/>
      <c r="AG16" s="37" t="n"/>
      <c r="AH16" s="37" t="n"/>
      <c r="AI16" s="39">
        <f>IF($B16="","",COUNTIF(D16:AH16,"P"))</f>
        <v/>
      </c>
      <c r="AJ16" s="39">
        <f>IF($B16="","",COUNTIF(D16:AH16,"R"))</f>
        <v/>
      </c>
      <c r="AK16" s="39">
        <f>IF($B16="","",COUNTIF(D16:AH16,"A"))</f>
        <v/>
      </c>
      <c r="AL16" s="39">
        <f>IF($B16="","",COUNTIF(D16:AH16,"C"))</f>
        <v/>
      </c>
      <c r="AM16" s="39">
        <f>IF($B16="","",COUNTIF(D16:AH16,"M"))</f>
        <v/>
      </c>
      <c r="AN16" s="40">
        <f>IF($B16="","",IF(AI16+AJ16+AK16+AM16=0,"",(AI16+AJ16)/(AI16+AJ16+AK16+AM16)))</f>
        <v/>
      </c>
      <c r="AO16" s="41">
        <f>IF($B16="","",IF('Employés'!D14="","",(AI16+AJ16+AL16)*'Employés'!D14))</f>
        <v/>
      </c>
    </row>
    <row r="17" ht="20" customHeight="1">
      <c r="A17" s="37">
        <f>IF('Employés'!B15="","",'Employés'!A15)</f>
        <v/>
      </c>
      <c r="B17" s="38">
        <f>IF('Employés'!B15="","",'Employés'!B15)</f>
        <v/>
      </c>
      <c r="C17" s="38">
        <f>IF('Employés'!C15="","",'Employés'!C15)</f>
        <v/>
      </c>
      <c r="D17" s="37" t="n"/>
      <c r="E17" s="37" t="n"/>
      <c r="F17" s="37" t="n"/>
      <c r="G17" s="37" t="n"/>
      <c r="H17" s="37" t="n"/>
      <c r="I17" s="37" t="n"/>
      <c r="J17" s="37" t="n"/>
      <c r="K17" s="37" t="n"/>
      <c r="L17" s="37" t="n"/>
      <c r="M17" s="37" t="n"/>
      <c r="N17" s="37" t="n"/>
      <c r="O17" s="37" t="n"/>
      <c r="P17" s="37" t="n"/>
      <c r="Q17" s="37" t="n"/>
      <c r="R17" s="37" t="n"/>
      <c r="S17" s="37" t="n"/>
      <c r="T17" s="37" t="n"/>
      <c r="U17" s="37" t="n"/>
      <c r="V17" s="37" t="n"/>
      <c r="W17" s="37" t="n"/>
      <c r="X17" s="37" t="n"/>
      <c r="Y17" s="37" t="n"/>
      <c r="Z17" s="37" t="n"/>
      <c r="AA17" s="37" t="n"/>
      <c r="AB17" s="37" t="n"/>
      <c r="AC17" s="37" t="n"/>
      <c r="AD17" s="37" t="n"/>
      <c r="AE17" s="37" t="n"/>
      <c r="AF17" s="37" t="n"/>
      <c r="AG17" s="37" t="n"/>
      <c r="AH17" s="37" t="n"/>
      <c r="AI17" s="39">
        <f>IF($B17="","",COUNTIF(D17:AH17,"P"))</f>
        <v/>
      </c>
      <c r="AJ17" s="39">
        <f>IF($B17="","",COUNTIF(D17:AH17,"R"))</f>
        <v/>
      </c>
      <c r="AK17" s="39">
        <f>IF($B17="","",COUNTIF(D17:AH17,"A"))</f>
        <v/>
      </c>
      <c r="AL17" s="39">
        <f>IF($B17="","",COUNTIF(D17:AH17,"C"))</f>
        <v/>
      </c>
      <c r="AM17" s="39">
        <f>IF($B17="","",COUNTIF(D17:AH17,"M"))</f>
        <v/>
      </c>
      <c r="AN17" s="40">
        <f>IF($B17="","",IF(AI17+AJ17+AK17+AM17=0,"",(AI17+AJ17)/(AI17+AJ17+AK17+AM17)))</f>
        <v/>
      </c>
      <c r="AO17" s="41">
        <f>IF($B17="","",IF('Employés'!D15="","",(AI17+AJ17+AL17)*'Employés'!D15))</f>
        <v/>
      </c>
    </row>
    <row r="18" ht="20" customHeight="1">
      <c r="A18" s="37">
        <f>IF('Employés'!B16="","",'Employés'!A16)</f>
        <v/>
      </c>
      <c r="B18" s="38">
        <f>IF('Employés'!B16="","",'Employés'!B16)</f>
        <v/>
      </c>
      <c r="C18" s="38">
        <f>IF('Employés'!C16="","",'Employés'!C16)</f>
        <v/>
      </c>
      <c r="D18" s="37" t="n"/>
      <c r="E18" s="37" t="n"/>
      <c r="F18" s="37" t="n"/>
      <c r="G18" s="37" t="n"/>
      <c r="H18" s="37" t="n"/>
      <c r="I18" s="37" t="n"/>
      <c r="J18" s="37" t="n"/>
      <c r="K18" s="37" t="n"/>
      <c r="L18" s="37" t="n"/>
      <c r="M18" s="37" t="n"/>
      <c r="N18" s="37" t="n"/>
      <c r="O18" s="37" t="n"/>
      <c r="P18" s="37" t="n"/>
      <c r="Q18" s="37" t="n"/>
      <c r="R18" s="37" t="n"/>
      <c r="S18" s="37" t="n"/>
      <c r="T18" s="37" t="n"/>
      <c r="U18" s="37" t="n"/>
      <c r="V18" s="37" t="n"/>
      <c r="W18" s="37" t="n"/>
      <c r="X18" s="37" t="n"/>
      <c r="Y18" s="37" t="n"/>
      <c r="Z18" s="37" t="n"/>
      <c r="AA18" s="37" t="n"/>
      <c r="AB18" s="37" t="n"/>
      <c r="AC18" s="37" t="n"/>
      <c r="AD18" s="37" t="n"/>
      <c r="AE18" s="37" t="n"/>
      <c r="AF18" s="37" t="n"/>
      <c r="AG18" s="37" t="n"/>
      <c r="AH18" s="37" t="n"/>
      <c r="AI18" s="39">
        <f>IF($B18="","",COUNTIF(D18:AH18,"P"))</f>
        <v/>
      </c>
      <c r="AJ18" s="39">
        <f>IF($B18="","",COUNTIF(D18:AH18,"R"))</f>
        <v/>
      </c>
      <c r="AK18" s="39">
        <f>IF($B18="","",COUNTIF(D18:AH18,"A"))</f>
        <v/>
      </c>
      <c r="AL18" s="39">
        <f>IF($B18="","",COUNTIF(D18:AH18,"C"))</f>
        <v/>
      </c>
      <c r="AM18" s="39">
        <f>IF($B18="","",COUNTIF(D18:AH18,"M"))</f>
        <v/>
      </c>
      <c r="AN18" s="40">
        <f>IF($B18="","",IF(AI18+AJ18+AK18+AM18=0,"",(AI18+AJ18)/(AI18+AJ18+AK18+AM18)))</f>
        <v/>
      </c>
      <c r="AO18" s="41">
        <f>IF($B18="","",IF('Employés'!D16="","",(AI18+AJ18+AL18)*'Employés'!D16))</f>
        <v/>
      </c>
    </row>
    <row r="19" ht="20" customHeight="1">
      <c r="A19" s="37">
        <f>IF('Employés'!B17="","",'Employés'!A17)</f>
        <v/>
      </c>
      <c r="B19" s="38">
        <f>IF('Employés'!B17="","",'Employés'!B17)</f>
        <v/>
      </c>
      <c r="C19" s="38">
        <f>IF('Employés'!C17="","",'Employés'!C17)</f>
        <v/>
      </c>
      <c r="D19" s="37" t="n"/>
      <c r="E19" s="37" t="n"/>
      <c r="F19" s="37" t="n"/>
      <c r="G19" s="37" t="n"/>
      <c r="H19" s="37" t="n"/>
      <c r="I19" s="37" t="n"/>
      <c r="J19" s="37" t="n"/>
      <c r="K19" s="37" t="n"/>
      <c r="L19" s="37" t="n"/>
      <c r="M19" s="37" t="n"/>
      <c r="N19" s="37" t="n"/>
      <c r="O19" s="37" t="n"/>
      <c r="P19" s="37" t="n"/>
      <c r="Q19" s="37" t="n"/>
      <c r="R19" s="37" t="n"/>
      <c r="S19" s="37" t="n"/>
      <c r="T19" s="37" t="n"/>
      <c r="U19" s="37" t="n"/>
      <c r="V19" s="37" t="n"/>
      <c r="W19" s="37" t="n"/>
      <c r="X19" s="37" t="n"/>
      <c r="Y19" s="37" t="n"/>
      <c r="Z19" s="37" t="n"/>
      <c r="AA19" s="37" t="n"/>
      <c r="AB19" s="37" t="n"/>
      <c r="AC19" s="37" t="n"/>
      <c r="AD19" s="37" t="n"/>
      <c r="AE19" s="37" t="n"/>
      <c r="AF19" s="37" t="n"/>
      <c r="AG19" s="37" t="n"/>
      <c r="AH19" s="37" t="n"/>
      <c r="AI19" s="39">
        <f>IF($B19="","",COUNTIF(D19:AH19,"P"))</f>
        <v/>
      </c>
      <c r="AJ19" s="39">
        <f>IF($B19="","",COUNTIF(D19:AH19,"R"))</f>
        <v/>
      </c>
      <c r="AK19" s="39">
        <f>IF($B19="","",COUNTIF(D19:AH19,"A"))</f>
        <v/>
      </c>
      <c r="AL19" s="39">
        <f>IF($B19="","",COUNTIF(D19:AH19,"C"))</f>
        <v/>
      </c>
      <c r="AM19" s="39">
        <f>IF($B19="","",COUNTIF(D19:AH19,"M"))</f>
        <v/>
      </c>
      <c r="AN19" s="40">
        <f>IF($B19="","",IF(AI19+AJ19+AK19+AM19=0,"",(AI19+AJ19)/(AI19+AJ19+AK19+AM19)))</f>
        <v/>
      </c>
      <c r="AO19" s="41">
        <f>IF($B19="","",IF('Employés'!D17="","",(AI19+AJ19+AL19)*'Employés'!D17))</f>
        <v/>
      </c>
    </row>
    <row r="20" ht="20" customHeight="1">
      <c r="A20" s="37">
        <f>IF('Employés'!B18="","",'Employés'!A18)</f>
        <v/>
      </c>
      <c r="B20" s="38">
        <f>IF('Employés'!B18="","",'Employés'!B18)</f>
        <v/>
      </c>
      <c r="C20" s="38">
        <f>IF('Employés'!C18="","",'Employés'!C18)</f>
        <v/>
      </c>
      <c r="D20" s="37" t="n"/>
      <c r="E20" s="37" t="n"/>
      <c r="F20" s="37" t="n"/>
      <c r="G20" s="37" t="n"/>
      <c r="H20" s="37" t="n"/>
      <c r="I20" s="37" t="n"/>
      <c r="J20" s="37" t="n"/>
      <c r="K20" s="37" t="n"/>
      <c r="L20" s="37" t="n"/>
      <c r="M20" s="37" t="n"/>
      <c r="N20" s="37" t="n"/>
      <c r="O20" s="37" t="n"/>
      <c r="P20" s="37" t="n"/>
      <c r="Q20" s="37" t="n"/>
      <c r="R20" s="37" t="n"/>
      <c r="S20" s="37" t="n"/>
      <c r="T20" s="37" t="n"/>
      <c r="U20" s="37" t="n"/>
      <c r="V20" s="37" t="n"/>
      <c r="W20" s="37" t="n"/>
      <c r="X20" s="37" t="n"/>
      <c r="Y20" s="37" t="n"/>
      <c r="Z20" s="37" t="n"/>
      <c r="AA20" s="37" t="n"/>
      <c r="AB20" s="37" t="n"/>
      <c r="AC20" s="37" t="n"/>
      <c r="AD20" s="37" t="n"/>
      <c r="AE20" s="37" t="n"/>
      <c r="AF20" s="37" t="n"/>
      <c r="AG20" s="37" t="n"/>
      <c r="AH20" s="37" t="n"/>
      <c r="AI20" s="39">
        <f>IF($B20="","",COUNTIF(D20:AH20,"P"))</f>
        <v/>
      </c>
      <c r="AJ20" s="39">
        <f>IF($B20="","",COUNTIF(D20:AH20,"R"))</f>
        <v/>
      </c>
      <c r="AK20" s="39">
        <f>IF($B20="","",COUNTIF(D20:AH20,"A"))</f>
        <v/>
      </c>
      <c r="AL20" s="39">
        <f>IF($B20="","",COUNTIF(D20:AH20,"C"))</f>
        <v/>
      </c>
      <c r="AM20" s="39">
        <f>IF($B20="","",COUNTIF(D20:AH20,"M"))</f>
        <v/>
      </c>
      <c r="AN20" s="40">
        <f>IF($B20="","",IF(AI20+AJ20+AK20+AM20=0,"",(AI20+AJ20)/(AI20+AJ20+AK20+AM20)))</f>
        <v/>
      </c>
      <c r="AO20" s="41">
        <f>IF($B20="","",IF('Employés'!D18="","",(AI20+AJ20+AL20)*'Employés'!D18))</f>
        <v/>
      </c>
    </row>
    <row r="21" ht="20" customHeight="1">
      <c r="A21" s="37">
        <f>IF('Employés'!B19="","",'Employés'!A19)</f>
        <v/>
      </c>
      <c r="B21" s="38">
        <f>IF('Employés'!B19="","",'Employés'!B19)</f>
        <v/>
      </c>
      <c r="C21" s="38">
        <f>IF('Employés'!C19="","",'Employés'!C19)</f>
        <v/>
      </c>
      <c r="D21" s="37" t="n"/>
      <c r="E21" s="37" t="n"/>
      <c r="F21" s="37" t="n"/>
      <c r="G21" s="37" t="n"/>
      <c r="H21" s="37" t="n"/>
      <c r="I21" s="37" t="n"/>
      <c r="J21" s="37" t="n"/>
      <c r="K21" s="37" t="n"/>
      <c r="L21" s="37" t="n"/>
      <c r="M21" s="37" t="n"/>
      <c r="N21" s="37" t="n"/>
      <c r="O21" s="37" t="n"/>
      <c r="P21" s="37" t="n"/>
      <c r="Q21" s="37" t="n"/>
      <c r="R21" s="37" t="n"/>
      <c r="S21" s="37" t="n"/>
      <c r="T21" s="37" t="n"/>
      <c r="U21" s="37" t="n"/>
      <c r="V21" s="37" t="n"/>
      <c r="W21" s="37" t="n"/>
      <c r="X21" s="37" t="n"/>
      <c r="Y21" s="37" t="n"/>
      <c r="Z21" s="37" t="n"/>
      <c r="AA21" s="37" t="n"/>
      <c r="AB21" s="37" t="n"/>
      <c r="AC21" s="37" t="n"/>
      <c r="AD21" s="37" t="n"/>
      <c r="AE21" s="37" t="n"/>
      <c r="AF21" s="37" t="n"/>
      <c r="AG21" s="37" t="n"/>
      <c r="AH21" s="37" t="n"/>
      <c r="AI21" s="39">
        <f>IF($B21="","",COUNTIF(D21:AH21,"P"))</f>
        <v/>
      </c>
      <c r="AJ21" s="39">
        <f>IF($B21="","",COUNTIF(D21:AH21,"R"))</f>
        <v/>
      </c>
      <c r="AK21" s="39">
        <f>IF($B21="","",COUNTIF(D21:AH21,"A"))</f>
        <v/>
      </c>
      <c r="AL21" s="39">
        <f>IF($B21="","",COUNTIF(D21:AH21,"C"))</f>
        <v/>
      </c>
      <c r="AM21" s="39">
        <f>IF($B21="","",COUNTIF(D21:AH21,"M"))</f>
        <v/>
      </c>
      <c r="AN21" s="40">
        <f>IF($B21="","",IF(AI21+AJ21+AK21+AM21=0,"",(AI21+AJ21)/(AI21+AJ21+AK21+AM21)))</f>
        <v/>
      </c>
      <c r="AO21" s="41">
        <f>IF($B21="","",IF('Employés'!D19="","",(AI21+AJ21+AL21)*'Employés'!D19))</f>
        <v/>
      </c>
    </row>
    <row r="22" ht="20" customHeight="1">
      <c r="A22" s="37">
        <f>IF('Employés'!B20="","",'Employés'!A20)</f>
        <v/>
      </c>
      <c r="B22" s="38">
        <f>IF('Employés'!B20="","",'Employés'!B20)</f>
        <v/>
      </c>
      <c r="C22" s="38">
        <f>IF('Employés'!C20="","",'Employés'!C20)</f>
        <v/>
      </c>
      <c r="D22" s="37" t="n"/>
      <c r="E22" s="37" t="n"/>
      <c r="F22" s="37" t="n"/>
      <c r="G22" s="37" t="n"/>
      <c r="H22" s="37" t="n"/>
      <c r="I22" s="37" t="n"/>
      <c r="J22" s="37" t="n"/>
      <c r="K22" s="37" t="n"/>
      <c r="L22" s="37" t="n"/>
      <c r="M22" s="37" t="n"/>
      <c r="N22" s="37" t="n"/>
      <c r="O22" s="37" t="n"/>
      <c r="P22" s="37" t="n"/>
      <c r="Q22" s="37" t="n"/>
      <c r="R22" s="37" t="n"/>
      <c r="S22" s="37" t="n"/>
      <c r="T22" s="37" t="n"/>
      <c r="U22" s="37" t="n"/>
      <c r="V22" s="37" t="n"/>
      <c r="W22" s="37" t="n"/>
      <c r="X22" s="37" t="n"/>
      <c r="Y22" s="37" t="n"/>
      <c r="Z22" s="37" t="n"/>
      <c r="AA22" s="37" t="n"/>
      <c r="AB22" s="37" t="n"/>
      <c r="AC22" s="37" t="n"/>
      <c r="AD22" s="37" t="n"/>
      <c r="AE22" s="37" t="n"/>
      <c r="AF22" s="37" t="n"/>
      <c r="AG22" s="37" t="n"/>
      <c r="AH22" s="37" t="n"/>
      <c r="AI22" s="39">
        <f>IF($B22="","",COUNTIF(D22:AH22,"P"))</f>
        <v/>
      </c>
      <c r="AJ22" s="39">
        <f>IF($B22="","",COUNTIF(D22:AH22,"R"))</f>
        <v/>
      </c>
      <c r="AK22" s="39">
        <f>IF($B22="","",COUNTIF(D22:AH22,"A"))</f>
        <v/>
      </c>
      <c r="AL22" s="39">
        <f>IF($B22="","",COUNTIF(D22:AH22,"C"))</f>
        <v/>
      </c>
      <c r="AM22" s="39">
        <f>IF($B22="","",COUNTIF(D22:AH22,"M"))</f>
        <v/>
      </c>
      <c r="AN22" s="40">
        <f>IF($B22="","",IF(AI22+AJ22+AK22+AM22=0,"",(AI22+AJ22)/(AI22+AJ22+AK22+AM22)))</f>
        <v/>
      </c>
      <c r="AO22" s="41">
        <f>IF($B22="","",IF('Employés'!D20="","",(AI22+AJ22+AL22)*'Employés'!D20))</f>
        <v/>
      </c>
    </row>
    <row r="23" ht="20" customHeight="1">
      <c r="A23" s="37">
        <f>IF('Employés'!B21="","",'Employés'!A21)</f>
        <v/>
      </c>
      <c r="B23" s="38">
        <f>IF('Employés'!B21="","",'Employés'!B21)</f>
        <v/>
      </c>
      <c r="C23" s="38">
        <f>IF('Employés'!C21="","",'Employés'!C21)</f>
        <v/>
      </c>
      <c r="D23" s="37" t="n"/>
      <c r="E23" s="37" t="n"/>
      <c r="F23" s="37" t="n"/>
      <c r="G23" s="37" t="n"/>
      <c r="H23" s="37" t="n"/>
      <c r="I23" s="37" t="n"/>
      <c r="J23" s="37" t="n"/>
      <c r="K23" s="37" t="n"/>
      <c r="L23" s="37" t="n"/>
      <c r="M23" s="37" t="n"/>
      <c r="N23" s="37" t="n"/>
      <c r="O23" s="37" t="n"/>
      <c r="P23" s="37" t="n"/>
      <c r="Q23" s="37" t="n"/>
      <c r="R23" s="37" t="n"/>
      <c r="S23" s="37" t="n"/>
      <c r="T23" s="37" t="n"/>
      <c r="U23" s="37" t="n"/>
      <c r="V23" s="37" t="n"/>
      <c r="W23" s="37" t="n"/>
      <c r="X23" s="37" t="n"/>
      <c r="Y23" s="37" t="n"/>
      <c r="Z23" s="37" t="n"/>
      <c r="AA23" s="37" t="n"/>
      <c r="AB23" s="37" t="n"/>
      <c r="AC23" s="37" t="n"/>
      <c r="AD23" s="37" t="n"/>
      <c r="AE23" s="37" t="n"/>
      <c r="AF23" s="37" t="n"/>
      <c r="AG23" s="37" t="n"/>
      <c r="AH23" s="37" t="n"/>
      <c r="AI23" s="39">
        <f>IF($B23="","",COUNTIF(D23:AH23,"P"))</f>
        <v/>
      </c>
      <c r="AJ23" s="39">
        <f>IF($B23="","",COUNTIF(D23:AH23,"R"))</f>
        <v/>
      </c>
      <c r="AK23" s="39">
        <f>IF($B23="","",COUNTIF(D23:AH23,"A"))</f>
        <v/>
      </c>
      <c r="AL23" s="39">
        <f>IF($B23="","",COUNTIF(D23:AH23,"C"))</f>
        <v/>
      </c>
      <c r="AM23" s="39">
        <f>IF($B23="","",COUNTIF(D23:AH23,"M"))</f>
        <v/>
      </c>
      <c r="AN23" s="40">
        <f>IF($B23="","",IF(AI23+AJ23+AK23+AM23=0,"",(AI23+AJ23)/(AI23+AJ23+AK23+AM23)))</f>
        <v/>
      </c>
      <c r="AO23" s="41">
        <f>IF($B23="","",IF('Employés'!D21="","",(AI23+AJ23+AL23)*'Employés'!D21))</f>
        <v/>
      </c>
    </row>
    <row r="24" ht="20" customHeight="1">
      <c r="A24" s="37">
        <f>IF('Employés'!B22="","",'Employés'!A22)</f>
        <v/>
      </c>
      <c r="B24" s="38">
        <f>IF('Employés'!B22="","",'Employés'!B22)</f>
        <v/>
      </c>
      <c r="C24" s="38">
        <f>IF('Employés'!C22="","",'Employés'!C22)</f>
        <v/>
      </c>
      <c r="D24" s="37" t="n"/>
      <c r="E24" s="37" t="n"/>
      <c r="F24" s="37" t="n"/>
      <c r="G24" s="37" t="n"/>
      <c r="H24" s="37" t="n"/>
      <c r="I24" s="37" t="n"/>
      <c r="J24" s="37" t="n"/>
      <c r="K24" s="37" t="n"/>
      <c r="L24" s="37" t="n"/>
      <c r="M24" s="37" t="n"/>
      <c r="N24" s="37" t="n"/>
      <c r="O24" s="37" t="n"/>
      <c r="P24" s="37" t="n"/>
      <c r="Q24" s="37" t="n"/>
      <c r="R24" s="37" t="n"/>
      <c r="S24" s="37" t="n"/>
      <c r="T24" s="37" t="n"/>
      <c r="U24" s="37" t="n"/>
      <c r="V24" s="37" t="n"/>
      <c r="W24" s="37" t="n"/>
      <c r="X24" s="37" t="n"/>
      <c r="Y24" s="37" t="n"/>
      <c r="Z24" s="37" t="n"/>
      <c r="AA24" s="37" t="n"/>
      <c r="AB24" s="37" t="n"/>
      <c r="AC24" s="37" t="n"/>
      <c r="AD24" s="37" t="n"/>
      <c r="AE24" s="37" t="n"/>
      <c r="AF24" s="37" t="n"/>
      <c r="AG24" s="37" t="n"/>
      <c r="AH24" s="37" t="n"/>
      <c r="AI24" s="39">
        <f>IF($B24="","",COUNTIF(D24:AH24,"P"))</f>
        <v/>
      </c>
      <c r="AJ24" s="39">
        <f>IF($B24="","",COUNTIF(D24:AH24,"R"))</f>
        <v/>
      </c>
      <c r="AK24" s="39">
        <f>IF($B24="","",COUNTIF(D24:AH24,"A"))</f>
        <v/>
      </c>
      <c r="AL24" s="39">
        <f>IF($B24="","",COUNTIF(D24:AH24,"C"))</f>
        <v/>
      </c>
      <c r="AM24" s="39">
        <f>IF($B24="","",COUNTIF(D24:AH24,"M"))</f>
        <v/>
      </c>
      <c r="AN24" s="40">
        <f>IF($B24="","",IF(AI24+AJ24+AK24+AM24=0,"",(AI24+AJ24)/(AI24+AJ24+AK24+AM24)))</f>
        <v/>
      </c>
      <c r="AO24" s="41">
        <f>IF($B24="","",IF('Employés'!D22="","",(AI24+AJ24+AL24)*'Employés'!D22))</f>
        <v/>
      </c>
    </row>
    <row r="25" ht="20" customHeight="1">
      <c r="A25" s="37">
        <f>IF('Employés'!B23="","",'Employés'!A23)</f>
        <v/>
      </c>
      <c r="B25" s="38">
        <f>IF('Employés'!B23="","",'Employés'!B23)</f>
        <v/>
      </c>
      <c r="C25" s="38">
        <f>IF('Employés'!C23="","",'Employés'!C23)</f>
        <v/>
      </c>
      <c r="D25" s="37" t="n"/>
      <c r="E25" s="37" t="n"/>
      <c r="F25" s="37" t="n"/>
      <c r="G25" s="37" t="n"/>
      <c r="H25" s="37" t="n"/>
      <c r="I25" s="37" t="n"/>
      <c r="J25" s="37" t="n"/>
      <c r="K25" s="37" t="n"/>
      <c r="L25" s="37" t="n"/>
      <c r="M25" s="37" t="n"/>
      <c r="N25" s="37" t="n"/>
      <c r="O25" s="37" t="n"/>
      <c r="P25" s="37" t="n"/>
      <c r="Q25" s="37" t="n"/>
      <c r="R25" s="37" t="n"/>
      <c r="S25" s="37" t="n"/>
      <c r="T25" s="37" t="n"/>
      <c r="U25" s="37" t="n"/>
      <c r="V25" s="37" t="n"/>
      <c r="W25" s="37" t="n"/>
      <c r="X25" s="37" t="n"/>
      <c r="Y25" s="37" t="n"/>
      <c r="Z25" s="37" t="n"/>
      <c r="AA25" s="37" t="n"/>
      <c r="AB25" s="37" t="n"/>
      <c r="AC25" s="37" t="n"/>
      <c r="AD25" s="37" t="n"/>
      <c r="AE25" s="37" t="n"/>
      <c r="AF25" s="37" t="n"/>
      <c r="AG25" s="37" t="n"/>
      <c r="AH25" s="37" t="n"/>
      <c r="AI25" s="39">
        <f>IF($B25="","",COUNTIF(D25:AH25,"P"))</f>
        <v/>
      </c>
      <c r="AJ25" s="39">
        <f>IF($B25="","",COUNTIF(D25:AH25,"R"))</f>
        <v/>
      </c>
      <c r="AK25" s="39">
        <f>IF($B25="","",COUNTIF(D25:AH25,"A"))</f>
        <v/>
      </c>
      <c r="AL25" s="39">
        <f>IF($B25="","",COUNTIF(D25:AH25,"C"))</f>
        <v/>
      </c>
      <c r="AM25" s="39">
        <f>IF($B25="","",COUNTIF(D25:AH25,"M"))</f>
        <v/>
      </c>
      <c r="AN25" s="40">
        <f>IF($B25="","",IF(AI25+AJ25+AK25+AM25=0,"",(AI25+AJ25)/(AI25+AJ25+AK25+AM25)))</f>
        <v/>
      </c>
      <c r="AO25" s="41">
        <f>IF($B25="","",IF('Employés'!D23="","",(AI25+AJ25+AL25)*'Employés'!D23))</f>
        <v/>
      </c>
    </row>
    <row r="26" ht="20" customHeight="1">
      <c r="A26" s="37">
        <f>IF('Employés'!B24="","",'Employés'!A24)</f>
        <v/>
      </c>
      <c r="B26" s="38">
        <f>IF('Employés'!B24="","",'Employés'!B24)</f>
        <v/>
      </c>
      <c r="C26" s="38">
        <f>IF('Employés'!C24="","",'Employés'!C24)</f>
        <v/>
      </c>
      <c r="D26" s="37" t="n"/>
      <c r="E26" s="37" t="n"/>
      <c r="F26" s="37" t="n"/>
      <c r="G26" s="37" t="n"/>
      <c r="H26" s="37" t="n"/>
      <c r="I26" s="37" t="n"/>
      <c r="J26" s="37" t="n"/>
      <c r="K26" s="37" t="n"/>
      <c r="L26" s="37" t="n"/>
      <c r="M26" s="37" t="n"/>
      <c r="N26" s="37" t="n"/>
      <c r="O26" s="37" t="n"/>
      <c r="P26" s="37" t="n"/>
      <c r="Q26" s="37" t="n"/>
      <c r="R26" s="37" t="n"/>
      <c r="S26" s="37" t="n"/>
      <c r="T26" s="37" t="n"/>
      <c r="U26" s="37" t="n"/>
      <c r="V26" s="37" t="n"/>
      <c r="W26" s="37" t="n"/>
      <c r="X26" s="37" t="n"/>
      <c r="Y26" s="37" t="n"/>
      <c r="Z26" s="37" t="n"/>
      <c r="AA26" s="37" t="n"/>
      <c r="AB26" s="37" t="n"/>
      <c r="AC26" s="37" t="n"/>
      <c r="AD26" s="37" t="n"/>
      <c r="AE26" s="37" t="n"/>
      <c r="AF26" s="37" t="n"/>
      <c r="AG26" s="37" t="n"/>
      <c r="AH26" s="37" t="n"/>
      <c r="AI26" s="39">
        <f>IF($B26="","",COUNTIF(D26:AH26,"P"))</f>
        <v/>
      </c>
      <c r="AJ26" s="39">
        <f>IF($B26="","",COUNTIF(D26:AH26,"R"))</f>
        <v/>
      </c>
      <c r="AK26" s="39">
        <f>IF($B26="","",COUNTIF(D26:AH26,"A"))</f>
        <v/>
      </c>
      <c r="AL26" s="39">
        <f>IF($B26="","",COUNTIF(D26:AH26,"C"))</f>
        <v/>
      </c>
      <c r="AM26" s="39">
        <f>IF($B26="","",COUNTIF(D26:AH26,"M"))</f>
        <v/>
      </c>
      <c r="AN26" s="40">
        <f>IF($B26="","",IF(AI26+AJ26+AK26+AM26=0,"",(AI26+AJ26)/(AI26+AJ26+AK26+AM26)))</f>
        <v/>
      </c>
      <c r="AO26" s="41">
        <f>IF($B26="","",IF('Employés'!D24="","",(AI26+AJ26+AL26)*'Employés'!D24))</f>
        <v/>
      </c>
    </row>
    <row r="27" ht="20" customHeight="1">
      <c r="A27" s="37">
        <f>IF('Employés'!B25="","",'Employés'!A25)</f>
        <v/>
      </c>
      <c r="B27" s="38">
        <f>IF('Employés'!B25="","",'Employés'!B25)</f>
        <v/>
      </c>
      <c r="C27" s="38">
        <f>IF('Employés'!C25="","",'Employés'!C25)</f>
        <v/>
      </c>
      <c r="D27" s="37" t="n"/>
      <c r="E27" s="37" t="n"/>
      <c r="F27" s="37" t="n"/>
      <c r="G27" s="37" t="n"/>
      <c r="H27" s="37" t="n"/>
      <c r="I27" s="37" t="n"/>
      <c r="J27" s="37" t="n"/>
      <c r="K27" s="37" t="n"/>
      <c r="L27" s="37" t="n"/>
      <c r="M27" s="37" t="n"/>
      <c r="N27" s="37" t="n"/>
      <c r="O27" s="37" t="n"/>
      <c r="P27" s="37" t="n"/>
      <c r="Q27" s="37" t="n"/>
      <c r="R27" s="37" t="n"/>
      <c r="S27" s="37" t="n"/>
      <c r="T27" s="37" t="n"/>
      <c r="U27" s="37" t="n"/>
      <c r="V27" s="37" t="n"/>
      <c r="W27" s="37" t="n"/>
      <c r="X27" s="37" t="n"/>
      <c r="Y27" s="37" t="n"/>
      <c r="Z27" s="37" t="n"/>
      <c r="AA27" s="37" t="n"/>
      <c r="AB27" s="37" t="n"/>
      <c r="AC27" s="37" t="n"/>
      <c r="AD27" s="37" t="n"/>
      <c r="AE27" s="37" t="n"/>
      <c r="AF27" s="37" t="n"/>
      <c r="AG27" s="37" t="n"/>
      <c r="AH27" s="37" t="n"/>
      <c r="AI27" s="39">
        <f>IF($B27="","",COUNTIF(D27:AH27,"P"))</f>
        <v/>
      </c>
      <c r="AJ27" s="39">
        <f>IF($B27="","",COUNTIF(D27:AH27,"R"))</f>
        <v/>
      </c>
      <c r="AK27" s="39">
        <f>IF($B27="","",COUNTIF(D27:AH27,"A"))</f>
        <v/>
      </c>
      <c r="AL27" s="39">
        <f>IF($B27="","",COUNTIF(D27:AH27,"C"))</f>
        <v/>
      </c>
      <c r="AM27" s="39">
        <f>IF($B27="","",COUNTIF(D27:AH27,"M"))</f>
        <v/>
      </c>
      <c r="AN27" s="40">
        <f>IF($B27="","",IF(AI27+AJ27+AK27+AM27=0,"",(AI27+AJ27)/(AI27+AJ27+AK27+AM27)))</f>
        <v/>
      </c>
      <c r="AO27" s="41">
        <f>IF($B27="","",IF('Employés'!D25="","",(AI27+AJ27+AL27)*'Employés'!D25))</f>
        <v/>
      </c>
    </row>
    <row r="28" ht="20" customHeight="1">
      <c r="A28" s="37">
        <f>IF('Employés'!B26="","",'Employés'!A26)</f>
        <v/>
      </c>
      <c r="B28" s="38">
        <f>IF('Employés'!B26="","",'Employés'!B26)</f>
        <v/>
      </c>
      <c r="C28" s="38">
        <f>IF('Employés'!C26="","",'Employés'!C26)</f>
        <v/>
      </c>
      <c r="D28" s="37" t="n"/>
      <c r="E28" s="37" t="n"/>
      <c r="F28" s="37" t="n"/>
      <c r="G28" s="37" t="n"/>
      <c r="H28" s="37" t="n"/>
      <c r="I28" s="37" t="n"/>
      <c r="J28" s="37" t="n"/>
      <c r="K28" s="37" t="n"/>
      <c r="L28" s="37" t="n"/>
      <c r="M28" s="37" t="n"/>
      <c r="N28" s="37" t="n"/>
      <c r="O28" s="37" t="n"/>
      <c r="P28" s="37" t="n"/>
      <c r="Q28" s="37" t="n"/>
      <c r="R28" s="37" t="n"/>
      <c r="S28" s="37" t="n"/>
      <c r="T28" s="37" t="n"/>
      <c r="U28" s="37" t="n"/>
      <c r="V28" s="37" t="n"/>
      <c r="W28" s="37" t="n"/>
      <c r="X28" s="37" t="n"/>
      <c r="Y28" s="37" t="n"/>
      <c r="Z28" s="37" t="n"/>
      <c r="AA28" s="37" t="n"/>
      <c r="AB28" s="37" t="n"/>
      <c r="AC28" s="37" t="n"/>
      <c r="AD28" s="37" t="n"/>
      <c r="AE28" s="37" t="n"/>
      <c r="AF28" s="37" t="n"/>
      <c r="AG28" s="37" t="n"/>
      <c r="AH28" s="37" t="n"/>
      <c r="AI28" s="39">
        <f>IF($B28="","",COUNTIF(D28:AH28,"P"))</f>
        <v/>
      </c>
      <c r="AJ28" s="39">
        <f>IF($B28="","",COUNTIF(D28:AH28,"R"))</f>
        <v/>
      </c>
      <c r="AK28" s="39">
        <f>IF($B28="","",COUNTIF(D28:AH28,"A"))</f>
        <v/>
      </c>
      <c r="AL28" s="39">
        <f>IF($B28="","",COUNTIF(D28:AH28,"C"))</f>
        <v/>
      </c>
      <c r="AM28" s="39">
        <f>IF($B28="","",COUNTIF(D28:AH28,"M"))</f>
        <v/>
      </c>
      <c r="AN28" s="40">
        <f>IF($B28="","",IF(AI28+AJ28+AK28+AM28=0,"",(AI28+AJ28)/(AI28+AJ28+AK28+AM28)))</f>
        <v/>
      </c>
      <c r="AO28" s="41">
        <f>IF($B28="","",IF('Employés'!D26="","",(AI28+AJ28+AL28)*'Employés'!D26))</f>
        <v/>
      </c>
    </row>
    <row r="29" ht="20" customHeight="1">
      <c r="A29" s="37">
        <f>IF('Employés'!B27="","",'Employés'!A27)</f>
        <v/>
      </c>
      <c r="B29" s="38">
        <f>IF('Employés'!B27="","",'Employés'!B27)</f>
        <v/>
      </c>
      <c r="C29" s="38">
        <f>IF('Employés'!C27="","",'Employés'!C27)</f>
        <v/>
      </c>
      <c r="D29" s="37" t="n"/>
      <c r="E29" s="37" t="n"/>
      <c r="F29" s="37" t="n"/>
      <c r="G29" s="37" t="n"/>
      <c r="H29" s="37" t="n"/>
      <c r="I29" s="37" t="n"/>
      <c r="J29" s="37" t="n"/>
      <c r="K29" s="37" t="n"/>
      <c r="L29" s="37" t="n"/>
      <c r="M29" s="37" t="n"/>
      <c r="N29" s="37" t="n"/>
      <c r="O29" s="37" t="n"/>
      <c r="P29" s="37" t="n"/>
      <c r="Q29" s="37" t="n"/>
      <c r="R29" s="37" t="n"/>
      <c r="S29" s="37" t="n"/>
      <c r="T29" s="37" t="n"/>
      <c r="U29" s="37" t="n"/>
      <c r="V29" s="37" t="n"/>
      <c r="W29" s="37" t="n"/>
      <c r="X29" s="37" t="n"/>
      <c r="Y29" s="37" t="n"/>
      <c r="Z29" s="37" t="n"/>
      <c r="AA29" s="37" t="n"/>
      <c r="AB29" s="37" t="n"/>
      <c r="AC29" s="37" t="n"/>
      <c r="AD29" s="37" t="n"/>
      <c r="AE29" s="37" t="n"/>
      <c r="AF29" s="37" t="n"/>
      <c r="AG29" s="37" t="n"/>
      <c r="AH29" s="37" t="n"/>
      <c r="AI29" s="39">
        <f>IF($B29="","",COUNTIF(D29:AH29,"P"))</f>
        <v/>
      </c>
      <c r="AJ29" s="39">
        <f>IF($B29="","",COUNTIF(D29:AH29,"R"))</f>
        <v/>
      </c>
      <c r="AK29" s="39">
        <f>IF($B29="","",COUNTIF(D29:AH29,"A"))</f>
        <v/>
      </c>
      <c r="AL29" s="39">
        <f>IF($B29="","",COUNTIF(D29:AH29,"C"))</f>
        <v/>
      </c>
      <c r="AM29" s="39">
        <f>IF($B29="","",COUNTIF(D29:AH29,"M"))</f>
        <v/>
      </c>
      <c r="AN29" s="40">
        <f>IF($B29="","",IF(AI29+AJ29+AK29+AM29=0,"",(AI29+AJ29)/(AI29+AJ29+AK29+AM29)))</f>
        <v/>
      </c>
      <c r="AO29" s="41">
        <f>IF($B29="","",IF('Employés'!D27="","",(AI29+AJ29+AL29)*'Employés'!D27))</f>
        <v/>
      </c>
    </row>
    <row r="30" ht="20" customHeight="1">
      <c r="A30" s="37">
        <f>IF('Employés'!B28="","",'Employés'!A28)</f>
        <v/>
      </c>
      <c r="B30" s="38">
        <f>IF('Employés'!B28="","",'Employés'!B28)</f>
        <v/>
      </c>
      <c r="C30" s="38">
        <f>IF('Employés'!C28="","",'Employés'!C28)</f>
        <v/>
      </c>
      <c r="D30" s="37" t="n"/>
      <c r="E30" s="37" t="n"/>
      <c r="F30" s="37" t="n"/>
      <c r="G30" s="37" t="n"/>
      <c r="H30" s="37" t="n"/>
      <c r="I30" s="37" t="n"/>
      <c r="J30" s="37" t="n"/>
      <c r="K30" s="37" t="n"/>
      <c r="L30" s="37" t="n"/>
      <c r="M30" s="37" t="n"/>
      <c r="N30" s="37" t="n"/>
      <c r="O30" s="37" t="n"/>
      <c r="P30" s="37" t="n"/>
      <c r="Q30" s="37" t="n"/>
      <c r="R30" s="37" t="n"/>
      <c r="S30" s="37" t="n"/>
      <c r="T30" s="37" t="n"/>
      <c r="U30" s="37" t="n"/>
      <c r="V30" s="37" t="n"/>
      <c r="W30" s="37" t="n"/>
      <c r="X30" s="37" t="n"/>
      <c r="Y30" s="37" t="n"/>
      <c r="Z30" s="37" t="n"/>
      <c r="AA30" s="37" t="n"/>
      <c r="AB30" s="37" t="n"/>
      <c r="AC30" s="37" t="n"/>
      <c r="AD30" s="37" t="n"/>
      <c r="AE30" s="37" t="n"/>
      <c r="AF30" s="37" t="n"/>
      <c r="AG30" s="37" t="n"/>
      <c r="AH30" s="37" t="n"/>
      <c r="AI30" s="39">
        <f>IF($B30="","",COUNTIF(D30:AH30,"P"))</f>
        <v/>
      </c>
      <c r="AJ30" s="39">
        <f>IF($B30="","",COUNTIF(D30:AH30,"R"))</f>
        <v/>
      </c>
      <c r="AK30" s="39">
        <f>IF($B30="","",COUNTIF(D30:AH30,"A"))</f>
        <v/>
      </c>
      <c r="AL30" s="39">
        <f>IF($B30="","",COUNTIF(D30:AH30,"C"))</f>
        <v/>
      </c>
      <c r="AM30" s="39">
        <f>IF($B30="","",COUNTIF(D30:AH30,"M"))</f>
        <v/>
      </c>
      <c r="AN30" s="40">
        <f>IF($B30="","",IF(AI30+AJ30+AK30+AM30=0,"",(AI30+AJ30)/(AI30+AJ30+AK30+AM30)))</f>
        <v/>
      </c>
      <c r="AO30" s="41">
        <f>IF($B30="","",IF('Employés'!D28="","",(AI30+AJ30+AL30)*'Employés'!D28))</f>
        <v/>
      </c>
    </row>
    <row r="31" ht="20" customHeight="1">
      <c r="A31" s="37">
        <f>IF('Employés'!B29="","",'Employés'!A29)</f>
        <v/>
      </c>
      <c r="B31" s="38">
        <f>IF('Employés'!B29="","",'Employés'!B29)</f>
        <v/>
      </c>
      <c r="C31" s="38">
        <f>IF('Employés'!C29="","",'Employés'!C29)</f>
        <v/>
      </c>
      <c r="D31" s="37" t="n"/>
      <c r="E31" s="37" t="n"/>
      <c r="F31" s="37" t="n"/>
      <c r="G31" s="37" t="n"/>
      <c r="H31" s="37" t="n"/>
      <c r="I31" s="37" t="n"/>
      <c r="J31" s="37" t="n"/>
      <c r="K31" s="37" t="n"/>
      <c r="L31" s="37" t="n"/>
      <c r="M31" s="37" t="n"/>
      <c r="N31" s="37" t="n"/>
      <c r="O31" s="37" t="n"/>
      <c r="P31" s="37" t="n"/>
      <c r="Q31" s="37" t="n"/>
      <c r="R31" s="37" t="n"/>
      <c r="S31" s="37" t="n"/>
      <c r="T31" s="37" t="n"/>
      <c r="U31" s="37" t="n"/>
      <c r="V31" s="37" t="n"/>
      <c r="W31" s="37" t="n"/>
      <c r="X31" s="37" t="n"/>
      <c r="Y31" s="37" t="n"/>
      <c r="Z31" s="37" t="n"/>
      <c r="AA31" s="37" t="n"/>
      <c r="AB31" s="37" t="n"/>
      <c r="AC31" s="37" t="n"/>
      <c r="AD31" s="37" t="n"/>
      <c r="AE31" s="37" t="n"/>
      <c r="AF31" s="37" t="n"/>
      <c r="AG31" s="37" t="n"/>
      <c r="AH31" s="37" t="n"/>
      <c r="AI31" s="39">
        <f>IF($B31="","",COUNTIF(D31:AH31,"P"))</f>
        <v/>
      </c>
      <c r="AJ31" s="39">
        <f>IF($B31="","",COUNTIF(D31:AH31,"R"))</f>
        <v/>
      </c>
      <c r="AK31" s="39">
        <f>IF($B31="","",COUNTIF(D31:AH31,"A"))</f>
        <v/>
      </c>
      <c r="AL31" s="39">
        <f>IF($B31="","",COUNTIF(D31:AH31,"C"))</f>
        <v/>
      </c>
      <c r="AM31" s="39">
        <f>IF($B31="","",COUNTIF(D31:AH31,"M"))</f>
        <v/>
      </c>
      <c r="AN31" s="40">
        <f>IF($B31="","",IF(AI31+AJ31+AK31+AM31=0,"",(AI31+AJ31)/(AI31+AJ31+AK31+AM31)))</f>
        <v/>
      </c>
      <c r="AO31" s="41">
        <f>IF($B31="","",IF('Employés'!D29="","",(AI31+AJ31+AL31)*'Employés'!D29))</f>
        <v/>
      </c>
    </row>
    <row r="32" ht="20" customHeight="1">
      <c r="A32" s="37">
        <f>IF('Employés'!B30="","",'Employés'!A30)</f>
        <v/>
      </c>
      <c r="B32" s="38">
        <f>IF('Employés'!B30="","",'Employés'!B30)</f>
        <v/>
      </c>
      <c r="C32" s="38">
        <f>IF('Employés'!C30="","",'Employés'!C30)</f>
        <v/>
      </c>
      <c r="D32" s="37" t="n"/>
      <c r="E32" s="37" t="n"/>
      <c r="F32" s="37" t="n"/>
      <c r="G32" s="37" t="n"/>
      <c r="H32" s="37" t="n"/>
      <c r="I32" s="37" t="n"/>
      <c r="J32" s="37" t="n"/>
      <c r="K32" s="37" t="n"/>
      <c r="L32" s="37" t="n"/>
      <c r="M32" s="37" t="n"/>
      <c r="N32" s="37" t="n"/>
      <c r="O32" s="37" t="n"/>
      <c r="P32" s="37" t="n"/>
      <c r="Q32" s="37" t="n"/>
      <c r="R32" s="37" t="n"/>
      <c r="S32" s="37" t="n"/>
      <c r="T32" s="37" t="n"/>
      <c r="U32" s="37" t="n"/>
      <c r="V32" s="37" t="n"/>
      <c r="W32" s="37" t="n"/>
      <c r="X32" s="37" t="n"/>
      <c r="Y32" s="37" t="n"/>
      <c r="Z32" s="37" t="n"/>
      <c r="AA32" s="37" t="n"/>
      <c r="AB32" s="37" t="n"/>
      <c r="AC32" s="37" t="n"/>
      <c r="AD32" s="37" t="n"/>
      <c r="AE32" s="37" t="n"/>
      <c r="AF32" s="37" t="n"/>
      <c r="AG32" s="37" t="n"/>
      <c r="AH32" s="37" t="n"/>
      <c r="AI32" s="39">
        <f>IF($B32="","",COUNTIF(D32:AH32,"P"))</f>
        <v/>
      </c>
      <c r="AJ32" s="39">
        <f>IF($B32="","",COUNTIF(D32:AH32,"R"))</f>
        <v/>
      </c>
      <c r="AK32" s="39">
        <f>IF($B32="","",COUNTIF(D32:AH32,"A"))</f>
        <v/>
      </c>
      <c r="AL32" s="39">
        <f>IF($B32="","",COUNTIF(D32:AH32,"C"))</f>
        <v/>
      </c>
      <c r="AM32" s="39">
        <f>IF($B32="","",COUNTIF(D32:AH32,"M"))</f>
        <v/>
      </c>
      <c r="AN32" s="40">
        <f>IF($B32="","",IF(AI32+AJ32+AK32+AM32=0,"",(AI32+AJ32)/(AI32+AJ32+AK32+AM32)))</f>
        <v/>
      </c>
      <c r="AO32" s="41">
        <f>IF($B32="","",IF('Employés'!D30="","",(AI32+AJ32+AL32)*'Employés'!D30))</f>
        <v/>
      </c>
    </row>
    <row r="33" ht="20" customHeight="1">
      <c r="A33" s="37">
        <f>IF('Employés'!B31="","",'Employés'!A31)</f>
        <v/>
      </c>
      <c r="B33" s="38">
        <f>IF('Employés'!B31="","",'Employés'!B31)</f>
        <v/>
      </c>
      <c r="C33" s="38">
        <f>IF('Employés'!C31="","",'Employés'!C31)</f>
        <v/>
      </c>
      <c r="D33" s="37" t="n"/>
      <c r="E33" s="37" t="n"/>
      <c r="F33" s="37" t="n"/>
      <c r="G33" s="37" t="n"/>
      <c r="H33" s="37" t="n"/>
      <c r="I33" s="37" t="n"/>
      <c r="J33" s="37" t="n"/>
      <c r="K33" s="37" t="n"/>
      <c r="L33" s="37" t="n"/>
      <c r="M33" s="37" t="n"/>
      <c r="N33" s="37" t="n"/>
      <c r="O33" s="37" t="n"/>
      <c r="P33" s="37" t="n"/>
      <c r="Q33" s="37" t="n"/>
      <c r="R33" s="37" t="n"/>
      <c r="S33" s="37" t="n"/>
      <c r="T33" s="37" t="n"/>
      <c r="U33" s="37" t="n"/>
      <c r="V33" s="37" t="n"/>
      <c r="W33" s="37" t="n"/>
      <c r="X33" s="37" t="n"/>
      <c r="Y33" s="37" t="n"/>
      <c r="Z33" s="37" t="n"/>
      <c r="AA33" s="37" t="n"/>
      <c r="AB33" s="37" t="n"/>
      <c r="AC33" s="37" t="n"/>
      <c r="AD33" s="37" t="n"/>
      <c r="AE33" s="37" t="n"/>
      <c r="AF33" s="37" t="n"/>
      <c r="AG33" s="37" t="n"/>
      <c r="AH33" s="37" t="n"/>
      <c r="AI33" s="39">
        <f>IF($B33="","",COUNTIF(D33:AH33,"P"))</f>
        <v/>
      </c>
      <c r="AJ33" s="39">
        <f>IF($B33="","",COUNTIF(D33:AH33,"R"))</f>
        <v/>
      </c>
      <c r="AK33" s="39">
        <f>IF($B33="","",COUNTIF(D33:AH33,"A"))</f>
        <v/>
      </c>
      <c r="AL33" s="39">
        <f>IF($B33="","",COUNTIF(D33:AH33,"C"))</f>
        <v/>
      </c>
      <c r="AM33" s="39">
        <f>IF($B33="","",COUNTIF(D33:AH33,"M"))</f>
        <v/>
      </c>
      <c r="AN33" s="40">
        <f>IF($B33="","",IF(AI33+AJ33+AK33+AM33=0,"",(AI33+AJ33)/(AI33+AJ33+AK33+AM33)))</f>
        <v/>
      </c>
      <c r="AO33" s="41">
        <f>IF($B33="","",IF('Employés'!D31="","",(AI33+AJ33+AL33)*'Employés'!D31))</f>
        <v/>
      </c>
    </row>
    <row r="34" ht="20" customHeight="1">
      <c r="A34" s="37">
        <f>IF('Employés'!B32="","",'Employés'!A32)</f>
        <v/>
      </c>
      <c r="B34" s="38">
        <f>IF('Employés'!B32="","",'Employés'!B32)</f>
        <v/>
      </c>
      <c r="C34" s="38">
        <f>IF('Employés'!C32="","",'Employés'!C32)</f>
        <v/>
      </c>
      <c r="D34" s="37" t="n"/>
      <c r="E34" s="37" t="n"/>
      <c r="F34" s="37" t="n"/>
      <c r="G34" s="37" t="n"/>
      <c r="H34" s="37" t="n"/>
      <c r="I34" s="37" t="n"/>
      <c r="J34" s="37" t="n"/>
      <c r="K34" s="37" t="n"/>
      <c r="L34" s="37" t="n"/>
      <c r="M34" s="37" t="n"/>
      <c r="N34" s="37" t="n"/>
      <c r="O34" s="37" t="n"/>
      <c r="P34" s="37" t="n"/>
      <c r="Q34" s="37" t="n"/>
      <c r="R34" s="37" t="n"/>
      <c r="S34" s="37" t="n"/>
      <c r="T34" s="37" t="n"/>
      <c r="U34" s="37" t="n"/>
      <c r="V34" s="37" t="n"/>
      <c r="W34" s="37" t="n"/>
      <c r="X34" s="37" t="n"/>
      <c r="Y34" s="37" t="n"/>
      <c r="Z34" s="37" t="n"/>
      <c r="AA34" s="37" t="n"/>
      <c r="AB34" s="37" t="n"/>
      <c r="AC34" s="37" t="n"/>
      <c r="AD34" s="37" t="n"/>
      <c r="AE34" s="37" t="n"/>
      <c r="AF34" s="37" t="n"/>
      <c r="AG34" s="37" t="n"/>
      <c r="AH34" s="37" t="n"/>
      <c r="AI34" s="39">
        <f>IF($B34="","",COUNTIF(D34:AH34,"P"))</f>
        <v/>
      </c>
      <c r="AJ34" s="39">
        <f>IF($B34="","",COUNTIF(D34:AH34,"R"))</f>
        <v/>
      </c>
      <c r="AK34" s="39">
        <f>IF($B34="","",COUNTIF(D34:AH34,"A"))</f>
        <v/>
      </c>
      <c r="AL34" s="39">
        <f>IF($B34="","",COUNTIF(D34:AH34,"C"))</f>
        <v/>
      </c>
      <c r="AM34" s="39">
        <f>IF($B34="","",COUNTIF(D34:AH34,"M"))</f>
        <v/>
      </c>
      <c r="AN34" s="40">
        <f>IF($B34="","",IF(AI34+AJ34+AK34+AM34=0,"",(AI34+AJ34)/(AI34+AJ34+AK34+AM34)))</f>
        <v/>
      </c>
      <c r="AO34" s="41">
        <f>IF($B34="","",IF('Employés'!D32="","",(AI34+AJ34+AL34)*'Employés'!D32))</f>
        <v/>
      </c>
    </row>
    <row r="35" ht="20" customHeight="1">
      <c r="A35" s="37">
        <f>IF('Employés'!B33="","",'Employés'!A33)</f>
        <v/>
      </c>
      <c r="B35" s="38">
        <f>IF('Employés'!B33="","",'Employés'!B33)</f>
        <v/>
      </c>
      <c r="C35" s="38">
        <f>IF('Employés'!C33="","",'Employés'!C33)</f>
        <v/>
      </c>
      <c r="D35" s="37" t="n"/>
      <c r="E35" s="37" t="n"/>
      <c r="F35" s="37" t="n"/>
      <c r="G35" s="37" t="n"/>
      <c r="H35" s="37" t="n"/>
      <c r="I35" s="37" t="n"/>
      <c r="J35" s="37" t="n"/>
      <c r="K35" s="37" t="n"/>
      <c r="L35" s="37" t="n"/>
      <c r="M35" s="37" t="n"/>
      <c r="N35" s="37" t="n"/>
      <c r="O35" s="37" t="n"/>
      <c r="P35" s="37" t="n"/>
      <c r="Q35" s="37" t="n"/>
      <c r="R35" s="37" t="n"/>
      <c r="S35" s="37" t="n"/>
      <c r="T35" s="37" t="n"/>
      <c r="U35" s="37" t="n"/>
      <c r="V35" s="37" t="n"/>
      <c r="W35" s="37" t="n"/>
      <c r="X35" s="37" t="n"/>
      <c r="Y35" s="37" t="n"/>
      <c r="Z35" s="37" t="n"/>
      <c r="AA35" s="37" t="n"/>
      <c r="AB35" s="37" t="n"/>
      <c r="AC35" s="37" t="n"/>
      <c r="AD35" s="37" t="n"/>
      <c r="AE35" s="37" t="n"/>
      <c r="AF35" s="37" t="n"/>
      <c r="AG35" s="37" t="n"/>
      <c r="AH35" s="37" t="n"/>
      <c r="AI35" s="39">
        <f>IF($B35="","",COUNTIF(D35:AH35,"P"))</f>
        <v/>
      </c>
      <c r="AJ35" s="39">
        <f>IF($B35="","",COUNTIF(D35:AH35,"R"))</f>
        <v/>
      </c>
      <c r="AK35" s="39">
        <f>IF($B35="","",COUNTIF(D35:AH35,"A"))</f>
        <v/>
      </c>
      <c r="AL35" s="39">
        <f>IF($B35="","",COUNTIF(D35:AH35,"C"))</f>
        <v/>
      </c>
      <c r="AM35" s="39">
        <f>IF($B35="","",COUNTIF(D35:AH35,"M"))</f>
        <v/>
      </c>
      <c r="AN35" s="40">
        <f>IF($B35="","",IF(AI35+AJ35+AK35+AM35=0,"",(AI35+AJ35)/(AI35+AJ35+AK35+AM35)))</f>
        <v/>
      </c>
      <c r="AO35" s="41">
        <f>IF($B35="","",IF('Employés'!D33="","",(AI35+AJ35+AL35)*'Employés'!D33))</f>
        <v/>
      </c>
    </row>
    <row r="36" ht="20" customHeight="1">
      <c r="A36" s="37">
        <f>IF('Employés'!B34="","",'Employés'!A34)</f>
        <v/>
      </c>
      <c r="B36" s="38">
        <f>IF('Employés'!B34="","",'Employés'!B34)</f>
        <v/>
      </c>
      <c r="C36" s="38">
        <f>IF('Employés'!C34="","",'Employés'!C34)</f>
        <v/>
      </c>
      <c r="D36" s="37" t="n"/>
      <c r="E36" s="37" t="n"/>
      <c r="F36" s="37" t="n"/>
      <c r="G36" s="37" t="n"/>
      <c r="H36" s="37" t="n"/>
      <c r="I36" s="37" t="n"/>
      <c r="J36" s="37" t="n"/>
      <c r="K36" s="37" t="n"/>
      <c r="L36" s="37" t="n"/>
      <c r="M36" s="37" t="n"/>
      <c r="N36" s="37" t="n"/>
      <c r="O36" s="37" t="n"/>
      <c r="P36" s="37" t="n"/>
      <c r="Q36" s="37" t="n"/>
      <c r="R36" s="37" t="n"/>
      <c r="S36" s="37" t="n"/>
      <c r="T36" s="37" t="n"/>
      <c r="U36" s="37" t="n"/>
      <c r="V36" s="37" t="n"/>
      <c r="W36" s="37" t="n"/>
      <c r="X36" s="37" t="n"/>
      <c r="Y36" s="37" t="n"/>
      <c r="Z36" s="37" t="n"/>
      <c r="AA36" s="37" t="n"/>
      <c r="AB36" s="37" t="n"/>
      <c r="AC36" s="37" t="n"/>
      <c r="AD36" s="37" t="n"/>
      <c r="AE36" s="37" t="n"/>
      <c r="AF36" s="37" t="n"/>
      <c r="AG36" s="37" t="n"/>
      <c r="AH36" s="37" t="n"/>
      <c r="AI36" s="39">
        <f>IF($B36="","",COUNTIF(D36:AH36,"P"))</f>
        <v/>
      </c>
      <c r="AJ36" s="39">
        <f>IF($B36="","",COUNTIF(D36:AH36,"R"))</f>
        <v/>
      </c>
      <c r="AK36" s="39">
        <f>IF($B36="","",COUNTIF(D36:AH36,"A"))</f>
        <v/>
      </c>
      <c r="AL36" s="39">
        <f>IF($B36="","",COUNTIF(D36:AH36,"C"))</f>
        <v/>
      </c>
      <c r="AM36" s="39">
        <f>IF($B36="","",COUNTIF(D36:AH36,"M"))</f>
        <v/>
      </c>
      <c r="AN36" s="40">
        <f>IF($B36="","",IF(AI36+AJ36+AK36+AM36=0,"",(AI36+AJ36)/(AI36+AJ36+AK36+AM36)))</f>
        <v/>
      </c>
      <c r="AO36" s="41">
        <f>IF($B36="","",IF('Employés'!D34="","",(AI36+AJ36+AL36)*'Employés'!D34))</f>
        <v/>
      </c>
    </row>
    <row r="37">
      <c r="A37" s="42" t="n"/>
      <c r="B37" s="42" t="inlineStr">
        <is>
          <t>TOTAL</t>
        </is>
      </c>
      <c r="C37" s="42" t="n"/>
      <c r="D37" s="42" t="n"/>
      <c r="E37" s="42" t="n"/>
      <c r="F37" s="42" t="n"/>
      <c r="G37" s="42" t="n"/>
      <c r="H37" s="42" t="n"/>
      <c r="I37" s="42" t="n"/>
      <c r="J37" s="42" t="n"/>
      <c r="K37" s="42" t="n"/>
      <c r="L37" s="42" t="n"/>
      <c r="M37" s="42" t="n"/>
      <c r="N37" s="42" t="n"/>
      <c r="O37" s="42" t="n"/>
      <c r="P37" s="42" t="n"/>
      <c r="Q37" s="42" t="n"/>
      <c r="R37" s="42" t="n"/>
      <c r="S37" s="42" t="n"/>
      <c r="T37" s="42" t="n"/>
      <c r="U37" s="42" t="n"/>
      <c r="V37" s="42" t="n"/>
      <c r="W37" s="42" t="n"/>
      <c r="X37" s="42" t="n"/>
      <c r="Y37" s="42" t="n"/>
      <c r="Z37" s="42" t="n"/>
      <c r="AA37" s="42" t="n"/>
      <c r="AB37" s="42" t="n"/>
      <c r="AC37" s="42" t="n"/>
      <c r="AD37" s="42" t="n"/>
      <c r="AE37" s="42" t="n"/>
      <c r="AF37" s="42" t="n"/>
      <c r="AG37" s="42" t="n"/>
      <c r="AH37" s="42" t="n"/>
      <c r="AI37" s="42">
        <f>SUM(AI7:AI36)</f>
        <v/>
      </c>
      <c r="AJ37" s="42">
        <f>SUM(AJ7:AJ36)</f>
        <v/>
      </c>
      <c r="AK37" s="42">
        <f>SUM(AK7:AK36)</f>
        <v/>
      </c>
      <c r="AL37" s="42">
        <f>SUM(AL7:AL36)</f>
        <v/>
      </c>
      <c r="AM37" s="42">
        <f>SUM(AM7:AM36)</f>
        <v/>
      </c>
      <c r="AN37" s="42" t="n"/>
      <c r="AO37" s="43">
        <f>SUM(AO7:AO36)</f>
        <v/>
      </c>
    </row>
  </sheetData>
  <mergeCells count="17">
    <mergeCell ref="A5:A6"/>
    <mergeCell ref="A2:AO2"/>
    <mergeCell ref="AI5:AI6"/>
    <mergeCell ref="D3:G3"/>
    <mergeCell ref="S3:V3"/>
    <mergeCell ref="X3:AA3"/>
    <mergeCell ref="AJ5:AJ6"/>
    <mergeCell ref="AK5:AK6"/>
    <mergeCell ref="I3:L3"/>
    <mergeCell ref="AL5:AL6"/>
    <mergeCell ref="AM5:AM6"/>
    <mergeCell ref="AN5:AN6"/>
    <mergeCell ref="A1:AO1"/>
    <mergeCell ref="N3:Q3"/>
    <mergeCell ref="AO5:AO6"/>
    <mergeCell ref="B5:B6"/>
    <mergeCell ref="C5:C6"/>
  </mergeCells>
  <conditionalFormatting sqref="D7:AH36">
    <cfRule type="expression" priority="1" dxfId="0">
      <formula>UPPER(D7)="P"</formula>
    </cfRule>
    <cfRule type="expression" priority="2" dxfId="1">
      <formula>UPPER(D7)="R"</formula>
    </cfRule>
    <cfRule type="expression" priority="3" dxfId="2">
      <formula>UPPER(D7)="A"</formula>
    </cfRule>
    <cfRule type="expression" priority="4" dxfId="3">
      <formula>UPPER(D7)="C"</formula>
    </cfRule>
    <cfRule type="expression" priority="5" dxfId="4">
      <formula>UPPER(D7)="M"</formula>
    </cfRule>
    <cfRule type="expression" priority="6" dxfId="5">
      <formula>OR(D$6="Sam",D$6="Dim",D$5="")</formula>
    </cfRule>
  </conditionalFormatting>
  <dataValidations count="1">
    <dataValidation sqref="D7:AH36" showDropDown="0" showInputMessage="0" showErrorMessage="1" allowBlank="1" errorTitle="Code inconnu" error="Utilisez P, R, A, C ou M." type="list">
      <formula1>"P,R,A,C,M"</formula1>
    </dataValidation>
  </dataValidations>
  <pageMargins left="0.75" right="0.75" top="1" bottom="1" header="0.5" footer="0.5"/>
  <pageSetup orientation="landscape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AO37"/>
  <sheetViews>
    <sheetView zoomScale="90" workbookViewId="0">
      <pane xSplit="3" ySplit="6" topLeftCell="D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24" customWidth="1" min="2" max="2"/>
    <col width="14" customWidth="1" min="3" max="3"/>
    <col width="4.6" customWidth="1" min="4" max="4"/>
    <col width="4.6" customWidth="1" min="5" max="5"/>
    <col width="4.6" customWidth="1" min="6" max="6"/>
    <col width="4.6" customWidth="1" min="7" max="7"/>
    <col width="4.6" customWidth="1" min="8" max="8"/>
    <col width="4.6" customWidth="1" min="9" max="9"/>
    <col width="4.6" customWidth="1" min="10" max="10"/>
    <col width="4.6" customWidth="1" min="11" max="11"/>
    <col width="4.6" customWidth="1" min="12" max="12"/>
    <col width="4.6" customWidth="1" min="13" max="13"/>
    <col width="4.6" customWidth="1" min="14" max="14"/>
    <col width="4.6" customWidth="1" min="15" max="15"/>
    <col width="4.6" customWidth="1" min="16" max="16"/>
    <col width="4.6" customWidth="1" min="17" max="17"/>
    <col width="4.6" customWidth="1" min="18" max="18"/>
    <col width="4.6" customWidth="1" min="19" max="19"/>
    <col width="4.6" customWidth="1" min="20" max="20"/>
    <col width="4.6" customWidth="1" min="21" max="21"/>
    <col width="4.6" customWidth="1" min="22" max="22"/>
    <col width="4.6" customWidth="1" min="23" max="23"/>
    <col width="4.6" customWidth="1" min="24" max="24"/>
    <col width="4.6" customWidth="1" min="25" max="25"/>
    <col width="4.6" customWidth="1" min="26" max="26"/>
    <col width="4.6" customWidth="1" min="27" max="27"/>
    <col width="4.6" customWidth="1" min="28" max="28"/>
    <col width="4.6" customWidth="1" min="29" max="29"/>
    <col width="4.6" customWidth="1" min="30" max="30"/>
    <col width="4.6" customWidth="1" min="31" max="31"/>
    <col width="4.6" customWidth="1" min="32" max="32"/>
    <col width="4.6" customWidth="1" min="33" max="33"/>
    <col width="4.6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13" customWidth="1" min="40" max="40"/>
    <col width="13" customWidth="1" min="41" max="41"/>
  </cols>
  <sheetData>
    <row r="1" ht="34" customHeight="1">
      <c r="A1" s="1">
        <f>'Paramètres'!$B$4&amp;" · Pointage de Mai "&amp;'Paramètres'!$B$5</f>
        <v/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</row>
    <row r="2" ht="20" customHeight="1">
      <c r="A2" s="3" t="inlineStr">
        <is>
          <t>Outil offert par Logia (DWTS) · Un logiciel sur mesure pour votre entreprise ? WhatsApp 062 67 14 45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2" t="n"/>
      <c r="AL2" s="2" t="n"/>
      <c r="AM2" s="2" t="n"/>
      <c r="AN2" s="2" t="n"/>
      <c r="AO2" s="2" t="n"/>
    </row>
    <row r="3">
      <c r="A3" s="6" t="inlineStr">
        <is>
          <t>Codes :</t>
        </is>
      </c>
      <c r="D3" s="30" t="inlineStr">
        <is>
          <t>P = Présent</t>
        </is>
      </c>
      <c r="I3" s="31" t="inlineStr">
        <is>
          <t>R = En retard</t>
        </is>
      </c>
      <c r="N3" s="32" t="inlineStr">
        <is>
          <t>A = Absent</t>
        </is>
      </c>
      <c r="S3" s="33" t="inlineStr">
        <is>
          <t>C = Congé</t>
        </is>
      </c>
      <c r="X3" s="34" t="inlineStr">
        <is>
          <t>M = Malade</t>
        </is>
      </c>
    </row>
    <row r="5" ht="22" customHeight="1">
      <c r="A5" s="35" t="inlineStr">
        <is>
          <t>ID</t>
        </is>
      </c>
      <c r="B5" s="35" t="inlineStr">
        <is>
          <t>Nom</t>
        </is>
      </c>
      <c r="C5" s="35" t="inlineStr">
        <is>
          <t>Poste</t>
        </is>
      </c>
      <c r="D5" s="35">
        <f>IF(MONTH(DATE('Paramètres'!$B$5,5,1))=5,1,"")</f>
        <v/>
      </c>
      <c r="E5" s="35">
        <f>IF(MONTH(DATE('Paramètres'!$B$5,5,2))=5,2,"")</f>
        <v/>
      </c>
      <c r="F5" s="35">
        <f>IF(MONTH(DATE('Paramètres'!$B$5,5,3))=5,3,"")</f>
        <v/>
      </c>
      <c r="G5" s="35">
        <f>IF(MONTH(DATE('Paramètres'!$B$5,5,4))=5,4,"")</f>
        <v/>
      </c>
      <c r="H5" s="35">
        <f>IF(MONTH(DATE('Paramètres'!$B$5,5,5))=5,5,"")</f>
        <v/>
      </c>
      <c r="I5" s="35">
        <f>IF(MONTH(DATE('Paramètres'!$B$5,5,6))=5,6,"")</f>
        <v/>
      </c>
      <c r="J5" s="35">
        <f>IF(MONTH(DATE('Paramètres'!$B$5,5,7))=5,7,"")</f>
        <v/>
      </c>
      <c r="K5" s="35">
        <f>IF(MONTH(DATE('Paramètres'!$B$5,5,8))=5,8,"")</f>
        <v/>
      </c>
      <c r="L5" s="35">
        <f>IF(MONTH(DATE('Paramètres'!$B$5,5,9))=5,9,"")</f>
        <v/>
      </c>
      <c r="M5" s="35">
        <f>IF(MONTH(DATE('Paramètres'!$B$5,5,10))=5,10,"")</f>
        <v/>
      </c>
      <c r="N5" s="35">
        <f>IF(MONTH(DATE('Paramètres'!$B$5,5,11))=5,11,"")</f>
        <v/>
      </c>
      <c r="O5" s="35">
        <f>IF(MONTH(DATE('Paramètres'!$B$5,5,12))=5,12,"")</f>
        <v/>
      </c>
      <c r="P5" s="35">
        <f>IF(MONTH(DATE('Paramètres'!$B$5,5,13))=5,13,"")</f>
        <v/>
      </c>
      <c r="Q5" s="35">
        <f>IF(MONTH(DATE('Paramètres'!$B$5,5,14))=5,14,"")</f>
        <v/>
      </c>
      <c r="R5" s="35">
        <f>IF(MONTH(DATE('Paramètres'!$B$5,5,15))=5,15,"")</f>
        <v/>
      </c>
      <c r="S5" s="35">
        <f>IF(MONTH(DATE('Paramètres'!$B$5,5,16))=5,16,"")</f>
        <v/>
      </c>
      <c r="T5" s="35">
        <f>IF(MONTH(DATE('Paramètres'!$B$5,5,17))=5,17,"")</f>
        <v/>
      </c>
      <c r="U5" s="35">
        <f>IF(MONTH(DATE('Paramètres'!$B$5,5,18))=5,18,"")</f>
        <v/>
      </c>
      <c r="V5" s="35">
        <f>IF(MONTH(DATE('Paramètres'!$B$5,5,19))=5,19,"")</f>
        <v/>
      </c>
      <c r="W5" s="35">
        <f>IF(MONTH(DATE('Paramètres'!$B$5,5,20))=5,20,"")</f>
        <v/>
      </c>
      <c r="X5" s="35">
        <f>IF(MONTH(DATE('Paramètres'!$B$5,5,21))=5,21,"")</f>
        <v/>
      </c>
      <c r="Y5" s="35">
        <f>IF(MONTH(DATE('Paramètres'!$B$5,5,22))=5,22,"")</f>
        <v/>
      </c>
      <c r="Z5" s="35">
        <f>IF(MONTH(DATE('Paramètres'!$B$5,5,23))=5,23,"")</f>
        <v/>
      </c>
      <c r="AA5" s="35">
        <f>IF(MONTH(DATE('Paramètres'!$B$5,5,24))=5,24,"")</f>
        <v/>
      </c>
      <c r="AB5" s="35">
        <f>IF(MONTH(DATE('Paramètres'!$B$5,5,25))=5,25,"")</f>
        <v/>
      </c>
      <c r="AC5" s="35">
        <f>IF(MONTH(DATE('Paramètres'!$B$5,5,26))=5,26,"")</f>
        <v/>
      </c>
      <c r="AD5" s="35">
        <f>IF(MONTH(DATE('Paramètres'!$B$5,5,27))=5,27,"")</f>
        <v/>
      </c>
      <c r="AE5" s="35">
        <f>IF(MONTH(DATE('Paramètres'!$B$5,5,28))=5,28,"")</f>
        <v/>
      </c>
      <c r="AF5" s="35">
        <f>IF(MONTH(DATE('Paramètres'!$B$5,5,29))=5,29,"")</f>
        <v/>
      </c>
      <c r="AG5" s="35">
        <f>IF(MONTH(DATE('Paramètres'!$B$5,5,30))=5,30,"")</f>
        <v/>
      </c>
      <c r="AH5" s="35">
        <f>IF(MONTH(DATE('Paramètres'!$B$5,5,31))=5,31,"")</f>
        <v/>
      </c>
      <c r="AI5" s="36" t="inlineStr">
        <is>
          <t>Présent</t>
        </is>
      </c>
      <c r="AJ5" s="36" t="inlineStr">
        <is>
          <t>Retard</t>
        </is>
      </c>
      <c r="AK5" s="36" t="inlineStr">
        <is>
          <t>Absent</t>
        </is>
      </c>
      <c r="AL5" s="36" t="inlineStr">
        <is>
          <t>Congé</t>
        </is>
      </c>
      <c r="AM5" s="36" t="inlineStr">
        <is>
          <t>Malade</t>
        </is>
      </c>
      <c r="AN5" s="36" t="inlineStr">
        <is>
          <t>Taux de présence</t>
        </is>
      </c>
      <c r="AO5" s="36" t="inlineStr">
        <is>
          <t>Salaire dû</t>
        </is>
      </c>
    </row>
    <row r="6" ht="22" customHeight="1">
      <c r="A6" s="35" t="n"/>
      <c r="B6" s="35" t="n"/>
      <c r="C6" s="35" t="n"/>
      <c r="D6" s="35">
        <f>IF(D5="","",CHOOSE(WEEKDAY(DATE('Paramètres'!$B$5,5,1),2),"Lun","Mar","Mer","Jeu","Ven","Sam","Dim"))</f>
        <v/>
      </c>
      <c r="E6" s="35">
        <f>IF(E5="","",CHOOSE(WEEKDAY(DATE('Paramètres'!$B$5,5,2),2),"Lun","Mar","Mer","Jeu","Ven","Sam","Dim"))</f>
        <v/>
      </c>
      <c r="F6" s="35">
        <f>IF(F5="","",CHOOSE(WEEKDAY(DATE('Paramètres'!$B$5,5,3),2),"Lun","Mar","Mer","Jeu","Ven","Sam","Dim"))</f>
        <v/>
      </c>
      <c r="G6" s="35">
        <f>IF(G5="","",CHOOSE(WEEKDAY(DATE('Paramètres'!$B$5,5,4),2),"Lun","Mar","Mer","Jeu","Ven","Sam","Dim"))</f>
        <v/>
      </c>
      <c r="H6" s="35">
        <f>IF(H5="","",CHOOSE(WEEKDAY(DATE('Paramètres'!$B$5,5,5),2),"Lun","Mar","Mer","Jeu","Ven","Sam","Dim"))</f>
        <v/>
      </c>
      <c r="I6" s="35">
        <f>IF(I5="","",CHOOSE(WEEKDAY(DATE('Paramètres'!$B$5,5,6),2),"Lun","Mar","Mer","Jeu","Ven","Sam","Dim"))</f>
        <v/>
      </c>
      <c r="J6" s="35">
        <f>IF(J5="","",CHOOSE(WEEKDAY(DATE('Paramètres'!$B$5,5,7),2),"Lun","Mar","Mer","Jeu","Ven","Sam","Dim"))</f>
        <v/>
      </c>
      <c r="K6" s="35">
        <f>IF(K5="","",CHOOSE(WEEKDAY(DATE('Paramètres'!$B$5,5,8),2),"Lun","Mar","Mer","Jeu","Ven","Sam","Dim"))</f>
        <v/>
      </c>
      <c r="L6" s="35">
        <f>IF(L5="","",CHOOSE(WEEKDAY(DATE('Paramètres'!$B$5,5,9),2),"Lun","Mar","Mer","Jeu","Ven","Sam","Dim"))</f>
        <v/>
      </c>
      <c r="M6" s="35">
        <f>IF(M5="","",CHOOSE(WEEKDAY(DATE('Paramètres'!$B$5,5,10),2),"Lun","Mar","Mer","Jeu","Ven","Sam","Dim"))</f>
        <v/>
      </c>
      <c r="N6" s="35">
        <f>IF(N5="","",CHOOSE(WEEKDAY(DATE('Paramètres'!$B$5,5,11),2),"Lun","Mar","Mer","Jeu","Ven","Sam","Dim"))</f>
        <v/>
      </c>
      <c r="O6" s="35">
        <f>IF(O5="","",CHOOSE(WEEKDAY(DATE('Paramètres'!$B$5,5,12),2),"Lun","Mar","Mer","Jeu","Ven","Sam","Dim"))</f>
        <v/>
      </c>
      <c r="P6" s="35">
        <f>IF(P5="","",CHOOSE(WEEKDAY(DATE('Paramètres'!$B$5,5,13),2),"Lun","Mar","Mer","Jeu","Ven","Sam","Dim"))</f>
        <v/>
      </c>
      <c r="Q6" s="35">
        <f>IF(Q5="","",CHOOSE(WEEKDAY(DATE('Paramètres'!$B$5,5,14),2),"Lun","Mar","Mer","Jeu","Ven","Sam","Dim"))</f>
        <v/>
      </c>
      <c r="R6" s="35">
        <f>IF(R5="","",CHOOSE(WEEKDAY(DATE('Paramètres'!$B$5,5,15),2),"Lun","Mar","Mer","Jeu","Ven","Sam","Dim"))</f>
        <v/>
      </c>
      <c r="S6" s="35">
        <f>IF(S5="","",CHOOSE(WEEKDAY(DATE('Paramètres'!$B$5,5,16),2),"Lun","Mar","Mer","Jeu","Ven","Sam","Dim"))</f>
        <v/>
      </c>
      <c r="T6" s="35">
        <f>IF(T5="","",CHOOSE(WEEKDAY(DATE('Paramètres'!$B$5,5,17),2),"Lun","Mar","Mer","Jeu","Ven","Sam","Dim"))</f>
        <v/>
      </c>
      <c r="U6" s="35">
        <f>IF(U5="","",CHOOSE(WEEKDAY(DATE('Paramètres'!$B$5,5,18),2),"Lun","Mar","Mer","Jeu","Ven","Sam","Dim"))</f>
        <v/>
      </c>
      <c r="V6" s="35">
        <f>IF(V5="","",CHOOSE(WEEKDAY(DATE('Paramètres'!$B$5,5,19),2),"Lun","Mar","Mer","Jeu","Ven","Sam","Dim"))</f>
        <v/>
      </c>
      <c r="W6" s="35">
        <f>IF(W5="","",CHOOSE(WEEKDAY(DATE('Paramètres'!$B$5,5,20),2),"Lun","Mar","Mer","Jeu","Ven","Sam","Dim"))</f>
        <v/>
      </c>
      <c r="X6" s="35">
        <f>IF(X5="","",CHOOSE(WEEKDAY(DATE('Paramètres'!$B$5,5,21),2),"Lun","Mar","Mer","Jeu","Ven","Sam","Dim"))</f>
        <v/>
      </c>
      <c r="Y6" s="35">
        <f>IF(Y5="","",CHOOSE(WEEKDAY(DATE('Paramètres'!$B$5,5,22),2),"Lun","Mar","Mer","Jeu","Ven","Sam","Dim"))</f>
        <v/>
      </c>
      <c r="Z6" s="35">
        <f>IF(Z5="","",CHOOSE(WEEKDAY(DATE('Paramètres'!$B$5,5,23),2),"Lun","Mar","Mer","Jeu","Ven","Sam","Dim"))</f>
        <v/>
      </c>
      <c r="AA6" s="35">
        <f>IF(AA5="","",CHOOSE(WEEKDAY(DATE('Paramètres'!$B$5,5,24),2),"Lun","Mar","Mer","Jeu","Ven","Sam","Dim"))</f>
        <v/>
      </c>
      <c r="AB6" s="35">
        <f>IF(AB5="","",CHOOSE(WEEKDAY(DATE('Paramètres'!$B$5,5,25),2),"Lun","Mar","Mer","Jeu","Ven","Sam","Dim"))</f>
        <v/>
      </c>
      <c r="AC6" s="35">
        <f>IF(AC5="","",CHOOSE(WEEKDAY(DATE('Paramètres'!$B$5,5,26),2),"Lun","Mar","Mer","Jeu","Ven","Sam","Dim"))</f>
        <v/>
      </c>
      <c r="AD6" s="35">
        <f>IF(AD5="","",CHOOSE(WEEKDAY(DATE('Paramètres'!$B$5,5,27),2),"Lun","Mar","Mer","Jeu","Ven","Sam","Dim"))</f>
        <v/>
      </c>
      <c r="AE6" s="35">
        <f>IF(AE5="","",CHOOSE(WEEKDAY(DATE('Paramètres'!$B$5,5,28),2),"Lun","Mar","Mer","Jeu","Ven","Sam","Dim"))</f>
        <v/>
      </c>
      <c r="AF6" s="35">
        <f>IF(AF5="","",CHOOSE(WEEKDAY(DATE('Paramètres'!$B$5,5,29),2),"Lun","Mar","Mer","Jeu","Ven","Sam","Dim"))</f>
        <v/>
      </c>
      <c r="AG6" s="35">
        <f>IF(AG5="","",CHOOSE(WEEKDAY(DATE('Paramètres'!$B$5,5,30),2),"Lun","Mar","Mer","Jeu","Ven","Sam","Dim"))</f>
        <v/>
      </c>
      <c r="AH6" s="35">
        <f>IF(AH5="","",CHOOSE(WEEKDAY(DATE('Paramètres'!$B$5,5,31),2),"Lun","Mar","Mer","Jeu","Ven","Sam","Dim"))</f>
        <v/>
      </c>
      <c r="AI6" s="36" t="n"/>
      <c r="AJ6" s="36" t="n"/>
      <c r="AK6" s="36" t="n"/>
      <c r="AL6" s="36" t="n"/>
      <c r="AM6" s="36" t="n"/>
      <c r="AN6" s="36" t="n"/>
      <c r="AO6" s="36" t="n"/>
    </row>
    <row r="7" ht="20" customHeight="1">
      <c r="A7" s="37">
        <f>IF('Employés'!B5="","",'Employés'!A5)</f>
        <v/>
      </c>
      <c r="B7" s="38">
        <f>IF('Employés'!B5="","",'Employés'!B5)</f>
        <v/>
      </c>
      <c r="C7" s="38">
        <f>IF('Employés'!C5="","",'Employés'!C5)</f>
        <v/>
      </c>
      <c r="D7" s="37" t="n"/>
      <c r="E7" s="37" t="n"/>
      <c r="F7" s="37" t="n"/>
      <c r="G7" s="37" t="n"/>
      <c r="H7" s="37" t="n"/>
      <c r="I7" s="37" t="n"/>
      <c r="J7" s="37" t="n"/>
      <c r="K7" s="37" t="n"/>
      <c r="L7" s="37" t="n"/>
      <c r="M7" s="37" t="n"/>
      <c r="N7" s="37" t="n"/>
      <c r="O7" s="37" t="n"/>
      <c r="P7" s="37" t="n"/>
      <c r="Q7" s="37" t="n"/>
      <c r="R7" s="37" t="n"/>
      <c r="S7" s="37" t="n"/>
      <c r="T7" s="37" t="n"/>
      <c r="U7" s="37" t="n"/>
      <c r="V7" s="37" t="n"/>
      <c r="W7" s="37" t="n"/>
      <c r="X7" s="37" t="n"/>
      <c r="Y7" s="37" t="n"/>
      <c r="Z7" s="37" t="n"/>
      <c r="AA7" s="37" t="n"/>
      <c r="AB7" s="37" t="n"/>
      <c r="AC7" s="37" t="n"/>
      <c r="AD7" s="37" t="n"/>
      <c r="AE7" s="37" t="n"/>
      <c r="AF7" s="37" t="n"/>
      <c r="AG7" s="37" t="n"/>
      <c r="AH7" s="37" t="n"/>
      <c r="AI7" s="39">
        <f>IF($B7="","",COUNTIF(D7:AH7,"P"))</f>
        <v/>
      </c>
      <c r="AJ7" s="39">
        <f>IF($B7="","",COUNTIF(D7:AH7,"R"))</f>
        <v/>
      </c>
      <c r="AK7" s="39">
        <f>IF($B7="","",COUNTIF(D7:AH7,"A"))</f>
        <v/>
      </c>
      <c r="AL7" s="39">
        <f>IF($B7="","",COUNTIF(D7:AH7,"C"))</f>
        <v/>
      </c>
      <c r="AM7" s="39">
        <f>IF($B7="","",COUNTIF(D7:AH7,"M"))</f>
        <v/>
      </c>
      <c r="AN7" s="40">
        <f>IF($B7="","",IF(AI7+AJ7+AK7+AM7=0,"",(AI7+AJ7)/(AI7+AJ7+AK7+AM7)))</f>
        <v/>
      </c>
      <c r="AO7" s="41">
        <f>IF($B7="","",IF('Employés'!D5="","",(AI7+AJ7+AL7)*'Employés'!D5))</f>
        <v/>
      </c>
    </row>
    <row r="8" ht="20" customHeight="1">
      <c r="A8" s="37">
        <f>IF('Employés'!B6="","",'Employés'!A6)</f>
        <v/>
      </c>
      <c r="B8" s="38">
        <f>IF('Employés'!B6="","",'Employés'!B6)</f>
        <v/>
      </c>
      <c r="C8" s="38">
        <f>IF('Employés'!C6="","",'Employés'!C6)</f>
        <v/>
      </c>
      <c r="D8" s="37" t="n"/>
      <c r="E8" s="37" t="n"/>
      <c r="F8" s="37" t="n"/>
      <c r="G8" s="37" t="n"/>
      <c r="H8" s="37" t="n"/>
      <c r="I8" s="37" t="n"/>
      <c r="J8" s="37" t="n"/>
      <c r="K8" s="37" t="n"/>
      <c r="L8" s="37" t="n"/>
      <c r="M8" s="37" t="n"/>
      <c r="N8" s="37" t="n"/>
      <c r="O8" s="37" t="n"/>
      <c r="P8" s="37" t="n"/>
      <c r="Q8" s="37" t="n"/>
      <c r="R8" s="37" t="n"/>
      <c r="S8" s="37" t="n"/>
      <c r="T8" s="37" t="n"/>
      <c r="U8" s="37" t="n"/>
      <c r="V8" s="37" t="n"/>
      <c r="W8" s="37" t="n"/>
      <c r="X8" s="37" t="n"/>
      <c r="Y8" s="37" t="n"/>
      <c r="Z8" s="37" t="n"/>
      <c r="AA8" s="37" t="n"/>
      <c r="AB8" s="37" t="n"/>
      <c r="AC8" s="37" t="n"/>
      <c r="AD8" s="37" t="n"/>
      <c r="AE8" s="37" t="n"/>
      <c r="AF8" s="37" t="n"/>
      <c r="AG8" s="37" t="n"/>
      <c r="AH8" s="37" t="n"/>
      <c r="AI8" s="39">
        <f>IF($B8="","",COUNTIF(D8:AH8,"P"))</f>
        <v/>
      </c>
      <c r="AJ8" s="39">
        <f>IF($B8="","",COUNTIF(D8:AH8,"R"))</f>
        <v/>
      </c>
      <c r="AK8" s="39">
        <f>IF($B8="","",COUNTIF(D8:AH8,"A"))</f>
        <v/>
      </c>
      <c r="AL8" s="39">
        <f>IF($B8="","",COUNTIF(D8:AH8,"C"))</f>
        <v/>
      </c>
      <c r="AM8" s="39">
        <f>IF($B8="","",COUNTIF(D8:AH8,"M"))</f>
        <v/>
      </c>
      <c r="AN8" s="40">
        <f>IF($B8="","",IF(AI8+AJ8+AK8+AM8=0,"",(AI8+AJ8)/(AI8+AJ8+AK8+AM8)))</f>
        <v/>
      </c>
      <c r="AO8" s="41">
        <f>IF($B8="","",IF('Employés'!D6="","",(AI8+AJ8+AL8)*'Employés'!D6))</f>
        <v/>
      </c>
    </row>
    <row r="9" ht="20" customHeight="1">
      <c r="A9" s="37">
        <f>IF('Employés'!B7="","",'Employés'!A7)</f>
        <v/>
      </c>
      <c r="B9" s="38">
        <f>IF('Employés'!B7="","",'Employés'!B7)</f>
        <v/>
      </c>
      <c r="C9" s="38">
        <f>IF('Employés'!C7="","",'Employés'!C7)</f>
        <v/>
      </c>
      <c r="D9" s="37" t="n"/>
      <c r="E9" s="37" t="n"/>
      <c r="F9" s="37" t="n"/>
      <c r="G9" s="37" t="n"/>
      <c r="H9" s="37" t="n"/>
      <c r="I9" s="37" t="n"/>
      <c r="J9" s="37" t="n"/>
      <c r="K9" s="37" t="n"/>
      <c r="L9" s="37" t="n"/>
      <c r="M9" s="37" t="n"/>
      <c r="N9" s="37" t="n"/>
      <c r="O9" s="37" t="n"/>
      <c r="P9" s="37" t="n"/>
      <c r="Q9" s="37" t="n"/>
      <c r="R9" s="37" t="n"/>
      <c r="S9" s="37" t="n"/>
      <c r="T9" s="37" t="n"/>
      <c r="U9" s="37" t="n"/>
      <c r="V9" s="37" t="n"/>
      <c r="W9" s="37" t="n"/>
      <c r="X9" s="37" t="n"/>
      <c r="Y9" s="37" t="n"/>
      <c r="Z9" s="37" t="n"/>
      <c r="AA9" s="37" t="n"/>
      <c r="AB9" s="37" t="n"/>
      <c r="AC9" s="37" t="n"/>
      <c r="AD9" s="37" t="n"/>
      <c r="AE9" s="37" t="n"/>
      <c r="AF9" s="37" t="n"/>
      <c r="AG9" s="37" t="n"/>
      <c r="AH9" s="37" t="n"/>
      <c r="AI9" s="39">
        <f>IF($B9="","",COUNTIF(D9:AH9,"P"))</f>
        <v/>
      </c>
      <c r="AJ9" s="39">
        <f>IF($B9="","",COUNTIF(D9:AH9,"R"))</f>
        <v/>
      </c>
      <c r="AK9" s="39">
        <f>IF($B9="","",COUNTIF(D9:AH9,"A"))</f>
        <v/>
      </c>
      <c r="AL9" s="39">
        <f>IF($B9="","",COUNTIF(D9:AH9,"C"))</f>
        <v/>
      </c>
      <c r="AM9" s="39">
        <f>IF($B9="","",COUNTIF(D9:AH9,"M"))</f>
        <v/>
      </c>
      <c r="AN9" s="40">
        <f>IF($B9="","",IF(AI9+AJ9+AK9+AM9=0,"",(AI9+AJ9)/(AI9+AJ9+AK9+AM9)))</f>
        <v/>
      </c>
      <c r="AO9" s="41">
        <f>IF($B9="","",IF('Employés'!D7="","",(AI9+AJ9+AL9)*'Employés'!D7))</f>
        <v/>
      </c>
    </row>
    <row r="10" ht="20" customHeight="1">
      <c r="A10" s="37">
        <f>IF('Employés'!B8="","",'Employés'!A8)</f>
        <v/>
      </c>
      <c r="B10" s="38">
        <f>IF('Employés'!B8="","",'Employés'!B8)</f>
        <v/>
      </c>
      <c r="C10" s="38">
        <f>IF('Employés'!C8="","",'Employés'!C8)</f>
        <v/>
      </c>
      <c r="D10" s="37" t="n"/>
      <c r="E10" s="37" t="n"/>
      <c r="F10" s="37" t="n"/>
      <c r="G10" s="37" t="n"/>
      <c r="H10" s="37" t="n"/>
      <c r="I10" s="37" t="n"/>
      <c r="J10" s="37" t="n"/>
      <c r="K10" s="37" t="n"/>
      <c r="L10" s="37" t="n"/>
      <c r="M10" s="37" t="n"/>
      <c r="N10" s="37" t="n"/>
      <c r="O10" s="37" t="n"/>
      <c r="P10" s="37" t="n"/>
      <c r="Q10" s="37" t="n"/>
      <c r="R10" s="37" t="n"/>
      <c r="S10" s="37" t="n"/>
      <c r="T10" s="37" t="n"/>
      <c r="U10" s="37" t="n"/>
      <c r="V10" s="37" t="n"/>
      <c r="W10" s="37" t="n"/>
      <c r="X10" s="37" t="n"/>
      <c r="Y10" s="37" t="n"/>
      <c r="Z10" s="37" t="n"/>
      <c r="AA10" s="37" t="n"/>
      <c r="AB10" s="37" t="n"/>
      <c r="AC10" s="37" t="n"/>
      <c r="AD10" s="37" t="n"/>
      <c r="AE10" s="37" t="n"/>
      <c r="AF10" s="37" t="n"/>
      <c r="AG10" s="37" t="n"/>
      <c r="AH10" s="37" t="n"/>
      <c r="AI10" s="39">
        <f>IF($B10="","",COUNTIF(D10:AH10,"P"))</f>
        <v/>
      </c>
      <c r="AJ10" s="39">
        <f>IF($B10="","",COUNTIF(D10:AH10,"R"))</f>
        <v/>
      </c>
      <c r="AK10" s="39">
        <f>IF($B10="","",COUNTIF(D10:AH10,"A"))</f>
        <v/>
      </c>
      <c r="AL10" s="39">
        <f>IF($B10="","",COUNTIF(D10:AH10,"C"))</f>
        <v/>
      </c>
      <c r="AM10" s="39">
        <f>IF($B10="","",COUNTIF(D10:AH10,"M"))</f>
        <v/>
      </c>
      <c r="AN10" s="40">
        <f>IF($B10="","",IF(AI10+AJ10+AK10+AM10=0,"",(AI10+AJ10)/(AI10+AJ10+AK10+AM10)))</f>
        <v/>
      </c>
      <c r="AO10" s="41">
        <f>IF($B10="","",IF('Employés'!D8="","",(AI10+AJ10+AL10)*'Employés'!D8))</f>
        <v/>
      </c>
    </row>
    <row r="11" ht="20" customHeight="1">
      <c r="A11" s="37">
        <f>IF('Employés'!B9="","",'Employés'!A9)</f>
        <v/>
      </c>
      <c r="B11" s="38">
        <f>IF('Employés'!B9="","",'Employés'!B9)</f>
        <v/>
      </c>
      <c r="C11" s="38">
        <f>IF('Employés'!C9="","",'Employés'!C9)</f>
        <v/>
      </c>
      <c r="D11" s="37" t="n"/>
      <c r="E11" s="37" t="n"/>
      <c r="F11" s="37" t="n"/>
      <c r="G11" s="37" t="n"/>
      <c r="H11" s="37" t="n"/>
      <c r="I11" s="37" t="n"/>
      <c r="J11" s="37" t="n"/>
      <c r="K11" s="37" t="n"/>
      <c r="L11" s="37" t="n"/>
      <c r="M11" s="37" t="n"/>
      <c r="N11" s="37" t="n"/>
      <c r="O11" s="37" t="n"/>
      <c r="P11" s="37" t="n"/>
      <c r="Q11" s="37" t="n"/>
      <c r="R11" s="37" t="n"/>
      <c r="S11" s="37" t="n"/>
      <c r="T11" s="37" t="n"/>
      <c r="U11" s="37" t="n"/>
      <c r="V11" s="37" t="n"/>
      <c r="W11" s="37" t="n"/>
      <c r="X11" s="37" t="n"/>
      <c r="Y11" s="37" t="n"/>
      <c r="Z11" s="37" t="n"/>
      <c r="AA11" s="37" t="n"/>
      <c r="AB11" s="37" t="n"/>
      <c r="AC11" s="37" t="n"/>
      <c r="AD11" s="37" t="n"/>
      <c r="AE11" s="37" t="n"/>
      <c r="AF11" s="37" t="n"/>
      <c r="AG11" s="37" t="n"/>
      <c r="AH11" s="37" t="n"/>
      <c r="AI11" s="39">
        <f>IF($B11="","",COUNTIF(D11:AH11,"P"))</f>
        <v/>
      </c>
      <c r="AJ11" s="39">
        <f>IF($B11="","",COUNTIF(D11:AH11,"R"))</f>
        <v/>
      </c>
      <c r="AK11" s="39">
        <f>IF($B11="","",COUNTIF(D11:AH11,"A"))</f>
        <v/>
      </c>
      <c r="AL11" s="39">
        <f>IF($B11="","",COUNTIF(D11:AH11,"C"))</f>
        <v/>
      </c>
      <c r="AM11" s="39">
        <f>IF($B11="","",COUNTIF(D11:AH11,"M"))</f>
        <v/>
      </c>
      <c r="AN11" s="40">
        <f>IF($B11="","",IF(AI11+AJ11+AK11+AM11=0,"",(AI11+AJ11)/(AI11+AJ11+AK11+AM11)))</f>
        <v/>
      </c>
      <c r="AO11" s="41">
        <f>IF($B11="","",IF('Employés'!D9="","",(AI11+AJ11+AL11)*'Employés'!D9))</f>
        <v/>
      </c>
    </row>
    <row r="12" ht="20" customHeight="1">
      <c r="A12" s="37">
        <f>IF('Employés'!B10="","",'Employés'!A10)</f>
        <v/>
      </c>
      <c r="B12" s="38">
        <f>IF('Employés'!B10="","",'Employés'!B10)</f>
        <v/>
      </c>
      <c r="C12" s="38">
        <f>IF('Employés'!C10="","",'Employés'!C10)</f>
        <v/>
      </c>
      <c r="D12" s="37" t="n"/>
      <c r="E12" s="37" t="n"/>
      <c r="F12" s="37" t="n"/>
      <c r="G12" s="37" t="n"/>
      <c r="H12" s="37" t="n"/>
      <c r="I12" s="37" t="n"/>
      <c r="J12" s="37" t="n"/>
      <c r="K12" s="37" t="n"/>
      <c r="L12" s="37" t="n"/>
      <c r="M12" s="37" t="n"/>
      <c r="N12" s="37" t="n"/>
      <c r="O12" s="37" t="n"/>
      <c r="P12" s="37" t="n"/>
      <c r="Q12" s="37" t="n"/>
      <c r="R12" s="37" t="n"/>
      <c r="S12" s="37" t="n"/>
      <c r="T12" s="37" t="n"/>
      <c r="U12" s="37" t="n"/>
      <c r="V12" s="37" t="n"/>
      <c r="W12" s="37" t="n"/>
      <c r="X12" s="37" t="n"/>
      <c r="Y12" s="37" t="n"/>
      <c r="Z12" s="37" t="n"/>
      <c r="AA12" s="37" t="n"/>
      <c r="AB12" s="37" t="n"/>
      <c r="AC12" s="37" t="n"/>
      <c r="AD12" s="37" t="n"/>
      <c r="AE12" s="37" t="n"/>
      <c r="AF12" s="37" t="n"/>
      <c r="AG12" s="37" t="n"/>
      <c r="AH12" s="37" t="n"/>
      <c r="AI12" s="39">
        <f>IF($B12="","",COUNTIF(D12:AH12,"P"))</f>
        <v/>
      </c>
      <c r="AJ12" s="39">
        <f>IF($B12="","",COUNTIF(D12:AH12,"R"))</f>
        <v/>
      </c>
      <c r="AK12" s="39">
        <f>IF($B12="","",COUNTIF(D12:AH12,"A"))</f>
        <v/>
      </c>
      <c r="AL12" s="39">
        <f>IF($B12="","",COUNTIF(D12:AH12,"C"))</f>
        <v/>
      </c>
      <c r="AM12" s="39">
        <f>IF($B12="","",COUNTIF(D12:AH12,"M"))</f>
        <v/>
      </c>
      <c r="AN12" s="40">
        <f>IF($B12="","",IF(AI12+AJ12+AK12+AM12=0,"",(AI12+AJ12)/(AI12+AJ12+AK12+AM12)))</f>
        <v/>
      </c>
      <c r="AO12" s="41">
        <f>IF($B12="","",IF('Employés'!D10="","",(AI12+AJ12+AL12)*'Employés'!D10))</f>
        <v/>
      </c>
    </row>
    <row r="13" ht="20" customHeight="1">
      <c r="A13" s="37">
        <f>IF('Employés'!B11="","",'Employés'!A11)</f>
        <v/>
      </c>
      <c r="B13" s="38">
        <f>IF('Employés'!B11="","",'Employés'!B11)</f>
        <v/>
      </c>
      <c r="C13" s="38">
        <f>IF('Employés'!C11="","",'Employés'!C11)</f>
        <v/>
      </c>
      <c r="D13" s="37" t="n"/>
      <c r="E13" s="37" t="n"/>
      <c r="F13" s="37" t="n"/>
      <c r="G13" s="37" t="n"/>
      <c r="H13" s="37" t="n"/>
      <c r="I13" s="37" t="n"/>
      <c r="J13" s="37" t="n"/>
      <c r="K13" s="37" t="n"/>
      <c r="L13" s="37" t="n"/>
      <c r="M13" s="37" t="n"/>
      <c r="N13" s="37" t="n"/>
      <c r="O13" s="37" t="n"/>
      <c r="P13" s="37" t="n"/>
      <c r="Q13" s="37" t="n"/>
      <c r="R13" s="37" t="n"/>
      <c r="S13" s="37" t="n"/>
      <c r="T13" s="37" t="n"/>
      <c r="U13" s="37" t="n"/>
      <c r="V13" s="37" t="n"/>
      <c r="W13" s="37" t="n"/>
      <c r="X13" s="37" t="n"/>
      <c r="Y13" s="37" t="n"/>
      <c r="Z13" s="37" t="n"/>
      <c r="AA13" s="37" t="n"/>
      <c r="AB13" s="37" t="n"/>
      <c r="AC13" s="37" t="n"/>
      <c r="AD13" s="37" t="n"/>
      <c r="AE13" s="37" t="n"/>
      <c r="AF13" s="37" t="n"/>
      <c r="AG13" s="37" t="n"/>
      <c r="AH13" s="37" t="n"/>
      <c r="AI13" s="39">
        <f>IF($B13="","",COUNTIF(D13:AH13,"P"))</f>
        <v/>
      </c>
      <c r="AJ13" s="39">
        <f>IF($B13="","",COUNTIF(D13:AH13,"R"))</f>
        <v/>
      </c>
      <c r="AK13" s="39">
        <f>IF($B13="","",COUNTIF(D13:AH13,"A"))</f>
        <v/>
      </c>
      <c r="AL13" s="39">
        <f>IF($B13="","",COUNTIF(D13:AH13,"C"))</f>
        <v/>
      </c>
      <c r="AM13" s="39">
        <f>IF($B13="","",COUNTIF(D13:AH13,"M"))</f>
        <v/>
      </c>
      <c r="AN13" s="40">
        <f>IF($B13="","",IF(AI13+AJ13+AK13+AM13=0,"",(AI13+AJ13)/(AI13+AJ13+AK13+AM13)))</f>
        <v/>
      </c>
      <c r="AO13" s="41">
        <f>IF($B13="","",IF('Employés'!D11="","",(AI13+AJ13+AL13)*'Employés'!D11))</f>
        <v/>
      </c>
    </row>
    <row r="14" ht="20" customHeight="1">
      <c r="A14" s="37">
        <f>IF('Employés'!B12="","",'Employés'!A12)</f>
        <v/>
      </c>
      <c r="B14" s="38">
        <f>IF('Employés'!B12="","",'Employés'!B12)</f>
        <v/>
      </c>
      <c r="C14" s="38">
        <f>IF('Employés'!C12="","",'Employés'!C12)</f>
        <v/>
      </c>
      <c r="D14" s="37" t="n"/>
      <c r="E14" s="37" t="n"/>
      <c r="F14" s="37" t="n"/>
      <c r="G14" s="37" t="n"/>
      <c r="H14" s="37" t="n"/>
      <c r="I14" s="37" t="n"/>
      <c r="J14" s="37" t="n"/>
      <c r="K14" s="37" t="n"/>
      <c r="L14" s="37" t="n"/>
      <c r="M14" s="37" t="n"/>
      <c r="N14" s="37" t="n"/>
      <c r="O14" s="37" t="n"/>
      <c r="P14" s="37" t="n"/>
      <c r="Q14" s="37" t="n"/>
      <c r="R14" s="37" t="n"/>
      <c r="S14" s="37" t="n"/>
      <c r="T14" s="37" t="n"/>
      <c r="U14" s="37" t="n"/>
      <c r="V14" s="37" t="n"/>
      <c r="W14" s="37" t="n"/>
      <c r="X14" s="37" t="n"/>
      <c r="Y14" s="37" t="n"/>
      <c r="Z14" s="37" t="n"/>
      <c r="AA14" s="37" t="n"/>
      <c r="AB14" s="37" t="n"/>
      <c r="AC14" s="37" t="n"/>
      <c r="AD14" s="37" t="n"/>
      <c r="AE14" s="37" t="n"/>
      <c r="AF14" s="37" t="n"/>
      <c r="AG14" s="37" t="n"/>
      <c r="AH14" s="37" t="n"/>
      <c r="AI14" s="39">
        <f>IF($B14="","",COUNTIF(D14:AH14,"P"))</f>
        <v/>
      </c>
      <c r="AJ14" s="39">
        <f>IF($B14="","",COUNTIF(D14:AH14,"R"))</f>
        <v/>
      </c>
      <c r="AK14" s="39">
        <f>IF($B14="","",COUNTIF(D14:AH14,"A"))</f>
        <v/>
      </c>
      <c r="AL14" s="39">
        <f>IF($B14="","",COUNTIF(D14:AH14,"C"))</f>
        <v/>
      </c>
      <c r="AM14" s="39">
        <f>IF($B14="","",COUNTIF(D14:AH14,"M"))</f>
        <v/>
      </c>
      <c r="AN14" s="40">
        <f>IF($B14="","",IF(AI14+AJ14+AK14+AM14=0,"",(AI14+AJ14)/(AI14+AJ14+AK14+AM14)))</f>
        <v/>
      </c>
      <c r="AO14" s="41">
        <f>IF($B14="","",IF('Employés'!D12="","",(AI14+AJ14+AL14)*'Employés'!D12))</f>
        <v/>
      </c>
    </row>
    <row r="15" ht="20" customHeight="1">
      <c r="A15" s="37">
        <f>IF('Employés'!B13="","",'Employés'!A13)</f>
        <v/>
      </c>
      <c r="B15" s="38">
        <f>IF('Employés'!B13="","",'Employés'!B13)</f>
        <v/>
      </c>
      <c r="C15" s="38">
        <f>IF('Employés'!C13="","",'Employés'!C13)</f>
        <v/>
      </c>
      <c r="D15" s="37" t="n"/>
      <c r="E15" s="37" t="n"/>
      <c r="F15" s="37" t="n"/>
      <c r="G15" s="37" t="n"/>
      <c r="H15" s="37" t="n"/>
      <c r="I15" s="37" t="n"/>
      <c r="J15" s="37" t="n"/>
      <c r="K15" s="37" t="n"/>
      <c r="L15" s="37" t="n"/>
      <c r="M15" s="37" t="n"/>
      <c r="N15" s="37" t="n"/>
      <c r="O15" s="37" t="n"/>
      <c r="P15" s="37" t="n"/>
      <c r="Q15" s="37" t="n"/>
      <c r="R15" s="37" t="n"/>
      <c r="S15" s="37" t="n"/>
      <c r="T15" s="37" t="n"/>
      <c r="U15" s="37" t="n"/>
      <c r="V15" s="37" t="n"/>
      <c r="W15" s="37" t="n"/>
      <c r="X15" s="37" t="n"/>
      <c r="Y15" s="37" t="n"/>
      <c r="Z15" s="37" t="n"/>
      <c r="AA15" s="37" t="n"/>
      <c r="AB15" s="37" t="n"/>
      <c r="AC15" s="37" t="n"/>
      <c r="AD15" s="37" t="n"/>
      <c r="AE15" s="37" t="n"/>
      <c r="AF15" s="37" t="n"/>
      <c r="AG15" s="37" t="n"/>
      <c r="AH15" s="37" t="n"/>
      <c r="AI15" s="39">
        <f>IF($B15="","",COUNTIF(D15:AH15,"P"))</f>
        <v/>
      </c>
      <c r="AJ15" s="39">
        <f>IF($B15="","",COUNTIF(D15:AH15,"R"))</f>
        <v/>
      </c>
      <c r="AK15" s="39">
        <f>IF($B15="","",COUNTIF(D15:AH15,"A"))</f>
        <v/>
      </c>
      <c r="AL15" s="39">
        <f>IF($B15="","",COUNTIF(D15:AH15,"C"))</f>
        <v/>
      </c>
      <c r="AM15" s="39">
        <f>IF($B15="","",COUNTIF(D15:AH15,"M"))</f>
        <v/>
      </c>
      <c r="AN15" s="40">
        <f>IF($B15="","",IF(AI15+AJ15+AK15+AM15=0,"",(AI15+AJ15)/(AI15+AJ15+AK15+AM15)))</f>
        <v/>
      </c>
      <c r="AO15" s="41">
        <f>IF($B15="","",IF('Employés'!D13="","",(AI15+AJ15+AL15)*'Employés'!D13))</f>
        <v/>
      </c>
    </row>
    <row r="16" ht="20" customHeight="1">
      <c r="A16" s="37">
        <f>IF('Employés'!B14="","",'Employés'!A14)</f>
        <v/>
      </c>
      <c r="B16" s="38">
        <f>IF('Employés'!B14="","",'Employés'!B14)</f>
        <v/>
      </c>
      <c r="C16" s="38">
        <f>IF('Employés'!C14="","",'Employés'!C14)</f>
        <v/>
      </c>
      <c r="D16" s="37" t="n"/>
      <c r="E16" s="37" t="n"/>
      <c r="F16" s="37" t="n"/>
      <c r="G16" s="37" t="n"/>
      <c r="H16" s="37" t="n"/>
      <c r="I16" s="37" t="n"/>
      <c r="J16" s="37" t="n"/>
      <c r="K16" s="37" t="n"/>
      <c r="L16" s="37" t="n"/>
      <c r="M16" s="37" t="n"/>
      <c r="N16" s="37" t="n"/>
      <c r="O16" s="37" t="n"/>
      <c r="P16" s="37" t="n"/>
      <c r="Q16" s="37" t="n"/>
      <c r="R16" s="37" t="n"/>
      <c r="S16" s="37" t="n"/>
      <c r="T16" s="37" t="n"/>
      <c r="U16" s="37" t="n"/>
      <c r="V16" s="37" t="n"/>
      <c r="W16" s="37" t="n"/>
      <c r="X16" s="37" t="n"/>
      <c r="Y16" s="37" t="n"/>
      <c r="Z16" s="37" t="n"/>
      <c r="AA16" s="37" t="n"/>
      <c r="AB16" s="37" t="n"/>
      <c r="AC16" s="37" t="n"/>
      <c r="AD16" s="37" t="n"/>
      <c r="AE16" s="37" t="n"/>
      <c r="AF16" s="37" t="n"/>
      <c r="AG16" s="37" t="n"/>
      <c r="AH16" s="37" t="n"/>
      <c r="AI16" s="39">
        <f>IF($B16="","",COUNTIF(D16:AH16,"P"))</f>
        <v/>
      </c>
      <c r="AJ16" s="39">
        <f>IF($B16="","",COUNTIF(D16:AH16,"R"))</f>
        <v/>
      </c>
      <c r="AK16" s="39">
        <f>IF($B16="","",COUNTIF(D16:AH16,"A"))</f>
        <v/>
      </c>
      <c r="AL16" s="39">
        <f>IF($B16="","",COUNTIF(D16:AH16,"C"))</f>
        <v/>
      </c>
      <c r="AM16" s="39">
        <f>IF($B16="","",COUNTIF(D16:AH16,"M"))</f>
        <v/>
      </c>
      <c r="AN16" s="40">
        <f>IF($B16="","",IF(AI16+AJ16+AK16+AM16=0,"",(AI16+AJ16)/(AI16+AJ16+AK16+AM16)))</f>
        <v/>
      </c>
      <c r="AO16" s="41">
        <f>IF($B16="","",IF('Employés'!D14="","",(AI16+AJ16+AL16)*'Employés'!D14))</f>
        <v/>
      </c>
    </row>
    <row r="17" ht="20" customHeight="1">
      <c r="A17" s="37">
        <f>IF('Employés'!B15="","",'Employés'!A15)</f>
        <v/>
      </c>
      <c r="B17" s="38">
        <f>IF('Employés'!B15="","",'Employés'!B15)</f>
        <v/>
      </c>
      <c r="C17" s="38">
        <f>IF('Employés'!C15="","",'Employés'!C15)</f>
        <v/>
      </c>
      <c r="D17" s="37" t="n"/>
      <c r="E17" s="37" t="n"/>
      <c r="F17" s="37" t="n"/>
      <c r="G17" s="37" t="n"/>
      <c r="H17" s="37" t="n"/>
      <c r="I17" s="37" t="n"/>
      <c r="J17" s="37" t="n"/>
      <c r="K17" s="37" t="n"/>
      <c r="L17" s="37" t="n"/>
      <c r="M17" s="37" t="n"/>
      <c r="N17" s="37" t="n"/>
      <c r="O17" s="37" t="n"/>
      <c r="P17" s="37" t="n"/>
      <c r="Q17" s="37" t="n"/>
      <c r="R17" s="37" t="n"/>
      <c r="S17" s="37" t="n"/>
      <c r="T17" s="37" t="n"/>
      <c r="U17" s="37" t="n"/>
      <c r="V17" s="37" t="n"/>
      <c r="W17" s="37" t="n"/>
      <c r="X17" s="37" t="n"/>
      <c r="Y17" s="37" t="n"/>
      <c r="Z17" s="37" t="n"/>
      <c r="AA17" s="37" t="n"/>
      <c r="AB17" s="37" t="n"/>
      <c r="AC17" s="37" t="n"/>
      <c r="AD17" s="37" t="n"/>
      <c r="AE17" s="37" t="n"/>
      <c r="AF17" s="37" t="n"/>
      <c r="AG17" s="37" t="n"/>
      <c r="AH17" s="37" t="n"/>
      <c r="AI17" s="39">
        <f>IF($B17="","",COUNTIF(D17:AH17,"P"))</f>
        <v/>
      </c>
      <c r="AJ17" s="39">
        <f>IF($B17="","",COUNTIF(D17:AH17,"R"))</f>
        <v/>
      </c>
      <c r="AK17" s="39">
        <f>IF($B17="","",COUNTIF(D17:AH17,"A"))</f>
        <v/>
      </c>
      <c r="AL17" s="39">
        <f>IF($B17="","",COUNTIF(D17:AH17,"C"))</f>
        <v/>
      </c>
      <c r="AM17" s="39">
        <f>IF($B17="","",COUNTIF(D17:AH17,"M"))</f>
        <v/>
      </c>
      <c r="AN17" s="40">
        <f>IF($B17="","",IF(AI17+AJ17+AK17+AM17=0,"",(AI17+AJ17)/(AI17+AJ17+AK17+AM17)))</f>
        <v/>
      </c>
      <c r="AO17" s="41">
        <f>IF($B17="","",IF('Employés'!D15="","",(AI17+AJ17+AL17)*'Employés'!D15))</f>
        <v/>
      </c>
    </row>
    <row r="18" ht="20" customHeight="1">
      <c r="A18" s="37">
        <f>IF('Employés'!B16="","",'Employés'!A16)</f>
        <v/>
      </c>
      <c r="B18" s="38">
        <f>IF('Employés'!B16="","",'Employés'!B16)</f>
        <v/>
      </c>
      <c r="C18" s="38">
        <f>IF('Employés'!C16="","",'Employés'!C16)</f>
        <v/>
      </c>
      <c r="D18" s="37" t="n"/>
      <c r="E18" s="37" t="n"/>
      <c r="F18" s="37" t="n"/>
      <c r="G18" s="37" t="n"/>
      <c r="H18" s="37" t="n"/>
      <c r="I18" s="37" t="n"/>
      <c r="J18" s="37" t="n"/>
      <c r="K18" s="37" t="n"/>
      <c r="L18" s="37" t="n"/>
      <c r="M18" s="37" t="n"/>
      <c r="N18" s="37" t="n"/>
      <c r="O18" s="37" t="n"/>
      <c r="P18" s="37" t="n"/>
      <c r="Q18" s="37" t="n"/>
      <c r="R18" s="37" t="n"/>
      <c r="S18" s="37" t="n"/>
      <c r="T18" s="37" t="n"/>
      <c r="U18" s="37" t="n"/>
      <c r="V18" s="37" t="n"/>
      <c r="W18" s="37" t="n"/>
      <c r="X18" s="37" t="n"/>
      <c r="Y18" s="37" t="n"/>
      <c r="Z18" s="37" t="n"/>
      <c r="AA18" s="37" t="n"/>
      <c r="AB18" s="37" t="n"/>
      <c r="AC18" s="37" t="n"/>
      <c r="AD18" s="37" t="n"/>
      <c r="AE18" s="37" t="n"/>
      <c r="AF18" s="37" t="n"/>
      <c r="AG18" s="37" t="n"/>
      <c r="AH18" s="37" t="n"/>
      <c r="AI18" s="39">
        <f>IF($B18="","",COUNTIF(D18:AH18,"P"))</f>
        <v/>
      </c>
      <c r="AJ18" s="39">
        <f>IF($B18="","",COUNTIF(D18:AH18,"R"))</f>
        <v/>
      </c>
      <c r="AK18" s="39">
        <f>IF($B18="","",COUNTIF(D18:AH18,"A"))</f>
        <v/>
      </c>
      <c r="AL18" s="39">
        <f>IF($B18="","",COUNTIF(D18:AH18,"C"))</f>
        <v/>
      </c>
      <c r="AM18" s="39">
        <f>IF($B18="","",COUNTIF(D18:AH18,"M"))</f>
        <v/>
      </c>
      <c r="AN18" s="40">
        <f>IF($B18="","",IF(AI18+AJ18+AK18+AM18=0,"",(AI18+AJ18)/(AI18+AJ18+AK18+AM18)))</f>
        <v/>
      </c>
      <c r="AO18" s="41">
        <f>IF($B18="","",IF('Employés'!D16="","",(AI18+AJ18+AL18)*'Employés'!D16))</f>
        <v/>
      </c>
    </row>
    <row r="19" ht="20" customHeight="1">
      <c r="A19" s="37">
        <f>IF('Employés'!B17="","",'Employés'!A17)</f>
        <v/>
      </c>
      <c r="B19" s="38">
        <f>IF('Employés'!B17="","",'Employés'!B17)</f>
        <v/>
      </c>
      <c r="C19" s="38">
        <f>IF('Employés'!C17="","",'Employés'!C17)</f>
        <v/>
      </c>
      <c r="D19" s="37" t="n"/>
      <c r="E19" s="37" t="n"/>
      <c r="F19" s="37" t="n"/>
      <c r="G19" s="37" t="n"/>
      <c r="H19" s="37" t="n"/>
      <c r="I19" s="37" t="n"/>
      <c r="J19" s="37" t="n"/>
      <c r="K19" s="37" t="n"/>
      <c r="L19" s="37" t="n"/>
      <c r="M19" s="37" t="n"/>
      <c r="N19" s="37" t="n"/>
      <c r="O19" s="37" t="n"/>
      <c r="P19" s="37" t="n"/>
      <c r="Q19" s="37" t="n"/>
      <c r="R19" s="37" t="n"/>
      <c r="S19" s="37" t="n"/>
      <c r="T19" s="37" t="n"/>
      <c r="U19" s="37" t="n"/>
      <c r="V19" s="37" t="n"/>
      <c r="W19" s="37" t="n"/>
      <c r="X19" s="37" t="n"/>
      <c r="Y19" s="37" t="n"/>
      <c r="Z19" s="37" t="n"/>
      <c r="AA19" s="37" t="n"/>
      <c r="AB19" s="37" t="n"/>
      <c r="AC19" s="37" t="n"/>
      <c r="AD19" s="37" t="n"/>
      <c r="AE19" s="37" t="n"/>
      <c r="AF19" s="37" t="n"/>
      <c r="AG19" s="37" t="n"/>
      <c r="AH19" s="37" t="n"/>
      <c r="AI19" s="39">
        <f>IF($B19="","",COUNTIF(D19:AH19,"P"))</f>
        <v/>
      </c>
      <c r="AJ19" s="39">
        <f>IF($B19="","",COUNTIF(D19:AH19,"R"))</f>
        <v/>
      </c>
      <c r="AK19" s="39">
        <f>IF($B19="","",COUNTIF(D19:AH19,"A"))</f>
        <v/>
      </c>
      <c r="AL19" s="39">
        <f>IF($B19="","",COUNTIF(D19:AH19,"C"))</f>
        <v/>
      </c>
      <c r="AM19" s="39">
        <f>IF($B19="","",COUNTIF(D19:AH19,"M"))</f>
        <v/>
      </c>
      <c r="AN19" s="40">
        <f>IF($B19="","",IF(AI19+AJ19+AK19+AM19=0,"",(AI19+AJ19)/(AI19+AJ19+AK19+AM19)))</f>
        <v/>
      </c>
      <c r="AO19" s="41">
        <f>IF($B19="","",IF('Employés'!D17="","",(AI19+AJ19+AL19)*'Employés'!D17))</f>
        <v/>
      </c>
    </row>
    <row r="20" ht="20" customHeight="1">
      <c r="A20" s="37">
        <f>IF('Employés'!B18="","",'Employés'!A18)</f>
        <v/>
      </c>
      <c r="B20" s="38">
        <f>IF('Employés'!B18="","",'Employés'!B18)</f>
        <v/>
      </c>
      <c r="C20" s="38">
        <f>IF('Employés'!C18="","",'Employés'!C18)</f>
        <v/>
      </c>
      <c r="D20" s="37" t="n"/>
      <c r="E20" s="37" t="n"/>
      <c r="F20" s="37" t="n"/>
      <c r="G20" s="37" t="n"/>
      <c r="H20" s="37" t="n"/>
      <c r="I20" s="37" t="n"/>
      <c r="J20" s="37" t="n"/>
      <c r="K20" s="37" t="n"/>
      <c r="L20" s="37" t="n"/>
      <c r="M20" s="37" t="n"/>
      <c r="N20" s="37" t="n"/>
      <c r="O20" s="37" t="n"/>
      <c r="P20" s="37" t="n"/>
      <c r="Q20" s="37" t="n"/>
      <c r="R20" s="37" t="n"/>
      <c r="S20" s="37" t="n"/>
      <c r="T20" s="37" t="n"/>
      <c r="U20" s="37" t="n"/>
      <c r="V20" s="37" t="n"/>
      <c r="W20" s="37" t="n"/>
      <c r="X20" s="37" t="n"/>
      <c r="Y20" s="37" t="n"/>
      <c r="Z20" s="37" t="n"/>
      <c r="AA20" s="37" t="n"/>
      <c r="AB20" s="37" t="n"/>
      <c r="AC20" s="37" t="n"/>
      <c r="AD20" s="37" t="n"/>
      <c r="AE20" s="37" t="n"/>
      <c r="AF20" s="37" t="n"/>
      <c r="AG20" s="37" t="n"/>
      <c r="AH20" s="37" t="n"/>
      <c r="AI20" s="39">
        <f>IF($B20="","",COUNTIF(D20:AH20,"P"))</f>
        <v/>
      </c>
      <c r="AJ20" s="39">
        <f>IF($B20="","",COUNTIF(D20:AH20,"R"))</f>
        <v/>
      </c>
      <c r="AK20" s="39">
        <f>IF($B20="","",COUNTIF(D20:AH20,"A"))</f>
        <v/>
      </c>
      <c r="AL20" s="39">
        <f>IF($B20="","",COUNTIF(D20:AH20,"C"))</f>
        <v/>
      </c>
      <c r="AM20" s="39">
        <f>IF($B20="","",COUNTIF(D20:AH20,"M"))</f>
        <v/>
      </c>
      <c r="AN20" s="40">
        <f>IF($B20="","",IF(AI20+AJ20+AK20+AM20=0,"",(AI20+AJ20)/(AI20+AJ20+AK20+AM20)))</f>
        <v/>
      </c>
      <c r="AO20" s="41">
        <f>IF($B20="","",IF('Employés'!D18="","",(AI20+AJ20+AL20)*'Employés'!D18))</f>
        <v/>
      </c>
    </row>
    <row r="21" ht="20" customHeight="1">
      <c r="A21" s="37">
        <f>IF('Employés'!B19="","",'Employés'!A19)</f>
        <v/>
      </c>
      <c r="B21" s="38">
        <f>IF('Employés'!B19="","",'Employés'!B19)</f>
        <v/>
      </c>
      <c r="C21" s="38">
        <f>IF('Employés'!C19="","",'Employés'!C19)</f>
        <v/>
      </c>
      <c r="D21" s="37" t="n"/>
      <c r="E21" s="37" t="n"/>
      <c r="F21" s="37" t="n"/>
      <c r="G21" s="37" t="n"/>
      <c r="H21" s="37" t="n"/>
      <c r="I21" s="37" t="n"/>
      <c r="J21" s="37" t="n"/>
      <c r="K21" s="37" t="n"/>
      <c r="L21" s="37" t="n"/>
      <c r="M21" s="37" t="n"/>
      <c r="N21" s="37" t="n"/>
      <c r="O21" s="37" t="n"/>
      <c r="P21" s="37" t="n"/>
      <c r="Q21" s="37" t="n"/>
      <c r="R21" s="37" t="n"/>
      <c r="S21" s="37" t="n"/>
      <c r="T21" s="37" t="n"/>
      <c r="U21" s="37" t="n"/>
      <c r="V21" s="37" t="n"/>
      <c r="W21" s="37" t="n"/>
      <c r="X21" s="37" t="n"/>
      <c r="Y21" s="37" t="n"/>
      <c r="Z21" s="37" t="n"/>
      <c r="AA21" s="37" t="n"/>
      <c r="AB21" s="37" t="n"/>
      <c r="AC21" s="37" t="n"/>
      <c r="AD21" s="37" t="n"/>
      <c r="AE21" s="37" t="n"/>
      <c r="AF21" s="37" t="n"/>
      <c r="AG21" s="37" t="n"/>
      <c r="AH21" s="37" t="n"/>
      <c r="AI21" s="39">
        <f>IF($B21="","",COUNTIF(D21:AH21,"P"))</f>
        <v/>
      </c>
      <c r="AJ21" s="39">
        <f>IF($B21="","",COUNTIF(D21:AH21,"R"))</f>
        <v/>
      </c>
      <c r="AK21" s="39">
        <f>IF($B21="","",COUNTIF(D21:AH21,"A"))</f>
        <v/>
      </c>
      <c r="AL21" s="39">
        <f>IF($B21="","",COUNTIF(D21:AH21,"C"))</f>
        <v/>
      </c>
      <c r="AM21" s="39">
        <f>IF($B21="","",COUNTIF(D21:AH21,"M"))</f>
        <v/>
      </c>
      <c r="AN21" s="40">
        <f>IF($B21="","",IF(AI21+AJ21+AK21+AM21=0,"",(AI21+AJ21)/(AI21+AJ21+AK21+AM21)))</f>
        <v/>
      </c>
      <c r="AO21" s="41">
        <f>IF($B21="","",IF('Employés'!D19="","",(AI21+AJ21+AL21)*'Employés'!D19))</f>
        <v/>
      </c>
    </row>
    <row r="22" ht="20" customHeight="1">
      <c r="A22" s="37">
        <f>IF('Employés'!B20="","",'Employés'!A20)</f>
        <v/>
      </c>
      <c r="B22" s="38">
        <f>IF('Employés'!B20="","",'Employés'!B20)</f>
        <v/>
      </c>
      <c r="C22" s="38">
        <f>IF('Employés'!C20="","",'Employés'!C20)</f>
        <v/>
      </c>
      <c r="D22" s="37" t="n"/>
      <c r="E22" s="37" t="n"/>
      <c r="F22" s="37" t="n"/>
      <c r="G22" s="37" t="n"/>
      <c r="H22" s="37" t="n"/>
      <c r="I22" s="37" t="n"/>
      <c r="J22" s="37" t="n"/>
      <c r="K22" s="37" t="n"/>
      <c r="L22" s="37" t="n"/>
      <c r="M22" s="37" t="n"/>
      <c r="N22" s="37" t="n"/>
      <c r="O22" s="37" t="n"/>
      <c r="P22" s="37" t="n"/>
      <c r="Q22" s="37" t="n"/>
      <c r="R22" s="37" t="n"/>
      <c r="S22" s="37" t="n"/>
      <c r="T22" s="37" t="n"/>
      <c r="U22" s="37" t="n"/>
      <c r="V22" s="37" t="n"/>
      <c r="W22" s="37" t="n"/>
      <c r="X22" s="37" t="n"/>
      <c r="Y22" s="37" t="n"/>
      <c r="Z22" s="37" t="n"/>
      <c r="AA22" s="37" t="n"/>
      <c r="AB22" s="37" t="n"/>
      <c r="AC22" s="37" t="n"/>
      <c r="AD22" s="37" t="n"/>
      <c r="AE22" s="37" t="n"/>
      <c r="AF22" s="37" t="n"/>
      <c r="AG22" s="37" t="n"/>
      <c r="AH22" s="37" t="n"/>
      <c r="AI22" s="39">
        <f>IF($B22="","",COUNTIF(D22:AH22,"P"))</f>
        <v/>
      </c>
      <c r="AJ22" s="39">
        <f>IF($B22="","",COUNTIF(D22:AH22,"R"))</f>
        <v/>
      </c>
      <c r="AK22" s="39">
        <f>IF($B22="","",COUNTIF(D22:AH22,"A"))</f>
        <v/>
      </c>
      <c r="AL22" s="39">
        <f>IF($B22="","",COUNTIF(D22:AH22,"C"))</f>
        <v/>
      </c>
      <c r="AM22" s="39">
        <f>IF($B22="","",COUNTIF(D22:AH22,"M"))</f>
        <v/>
      </c>
      <c r="AN22" s="40">
        <f>IF($B22="","",IF(AI22+AJ22+AK22+AM22=0,"",(AI22+AJ22)/(AI22+AJ22+AK22+AM22)))</f>
        <v/>
      </c>
      <c r="AO22" s="41">
        <f>IF($B22="","",IF('Employés'!D20="","",(AI22+AJ22+AL22)*'Employés'!D20))</f>
        <v/>
      </c>
    </row>
    <row r="23" ht="20" customHeight="1">
      <c r="A23" s="37">
        <f>IF('Employés'!B21="","",'Employés'!A21)</f>
        <v/>
      </c>
      <c r="B23" s="38">
        <f>IF('Employés'!B21="","",'Employés'!B21)</f>
        <v/>
      </c>
      <c r="C23" s="38">
        <f>IF('Employés'!C21="","",'Employés'!C21)</f>
        <v/>
      </c>
      <c r="D23" s="37" t="n"/>
      <c r="E23" s="37" t="n"/>
      <c r="F23" s="37" t="n"/>
      <c r="G23" s="37" t="n"/>
      <c r="H23" s="37" t="n"/>
      <c r="I23" s="37" t="n"/>
      <c r="J23" s="37" t="n"/>
      <c r="K23" s="37" t="n"/>
      <c r="L23" s="37" t="n"/>
      <c r="M23" s="37" t="n"/>
      <c r="N23" s="37" t="n"/>
      <c r="O23" s="37" t="n"/>
      <c r="P23" s="37" t="n"/>
      <c r="Q23" s="37" t="n"/>
      <c r="R23" s="37" t="n"/>
      <c r="S23" s="37" t="n"/>
      <c r="T23" s="37" t="n"/>
      <c r="U23" s="37" t="n"/>
      <c r="V23" s="37" t="n"/>
      <c r="W23" s="37" t="n"/>
      <c r="X23" s="37" t="n"/>
      <c r="Y23" s="37" t="n"/>
      <c r="Z23" s="37" t="n"/>
      <c r="AA23" s="37" t="n"/>
      <c r="AB23" s="37" t="n"/>
      <c r="AC23" s="37" t="n"/>
      <c r="AD23" s="37" t="n"/>
      <c r="AE23" s="37" t="n"/>
      <c r="AF23" s="37" t="n"/>
      <c r="AG23" s="37" t="n"/>
      <c r="AH23" s="37" t="n"/>
      <c r="AI23" s="39">
        <f>IF($B23="","",COUNTIF(D23:AH23,"P"))</f>
        <v/>
      </c>
      <c r="AJ23" s="39">
        <f>IF($B23="","",COUNTIF(D23:AH23,"R"))</f>
        <v/>
      </c>
      <c r="AK23" s="39">
        <f>IF($B23="","",COUNTIF(D23:AH23,"A"))</f>
        <v/>
      </c>
      <c r="AL23" s="39">
        <f>IF($B23="","",COUNTIF(D23:AH23,"C"))</f>
        <v/>
      </c>
      <c r="AM23" s="39">
        <f>IF($B23="","",COUNTIF(D23:AH23,"M"))</f>
        <v/>
      </c>
      <c r="AN23" s="40">
        <f>IF($B23="","",IF(AI23+AJ23+AK23+AM23=0,"",(AI23+AJ23)/(AI23+AJ23+AK23+AM23)))</f>
        <v/>
      </c>
      <c r="AO23" s="41">
        <f>IF($B23="","",IF('Employés'!D21="","",(AI23+AJ23+AL23)*'Employés'!D21))</f>
        <v/>
      </c>
    </row>
    <row r="24" ht="20" customHeight="1">
      <c r="A24" s="37">
        <f>IF('Employés'!B22="","",'Employés'!A22)</f>
        <v/>
      </c>
      <c r="B24" s="38">
        <f>IF('Employés'!B22="","",'Employés'!B22)</f>
        <v/>
      </c>
      <c r="C24" s="38">
        <f>IF('Employés'!C22="","",'Employés'!C22)</f>
        <v/>
      </c>
      <c r="D24" s="37" t="n"/>
      <c r="E24" s="37" t="n"/>
      <c r="F24" s="37" t="n"/>
      <c r="G24" s="37" t="n"/>
      <c r="H24" s="37" t="n"/>
      <c r="I24" s="37" t="n"/>
      <c r="J24" s="37" t="n"/>
      <c r="K24" s="37" t="n"/>
      <c r="L24" s="37" t="n"/>
      <c r="M24" s="37" t="n"/>
      <c r="N24" s="37" t="n"/>
      <c r="O24" s="37" t="n"/>
      <c r="P24" s="37" t="n"/>
      <c r="Q24" s="37" t="n"/>
      <c r="R24" s="37" t="n"/>
      <c r="S24" s="37" t="n"/>
      <c r="T24" s="37" t="n"/>
      <c r="U24" s="37" t="n"/>
      <c r="V24" s="37" t="n"/>
      <c r="W24" s="37" t="n"/>
      <c r="X24" s="37" t="n"/>
      <c r="Y24" s="37" t="n"/>
      <c r="Z24" s="37" t="n"/>
      <c r="AA24" s="37" t="n"/>
      <c r="AB24" s="37" t="n"/>
      <c r="AC24" s="37" t="n"/>
      <c r="AD24" s="37" t="n"/>
      <c r="AE24" s="37" t="n"/>
      <c r="AF24" s="37" t="n"/>
      <c r="AG24" s="37" t="n"/>
      <c r="AH24" s="37" t="n"/>
      <c r="AI24" s="39">
        <f>IF($B24="","",COUNTIF(D24:AH24,"P"))</f>
        <v/>
      </c>
      <c r="AJ24" s="39">
        <f>IF($B24="","",COUNTIF(D24:AH24,"R"))</f>
        <v/>
      </c>
      <c r="AK24" s="39">
        <f>IF($B24="","",COUNTIF(D24:AH24,"A"))</f>
        <v/>
      </c>
      <c r="AL24" s="39">
        <f>IF($B24="","",COUNTIF(D24:AH24,"C"))</f>
        <v/>
      </c>
      <c r="AM24" s="39">
        <f>IF($B24="","",COUNTIF(D24:AH24,"M"))</f>
        <v/>
      </c>
      <c r="AN24" s="40">
        <f>IF($B24="","",IF(AI24+AJ24+AK24+AM24=0,"",(AI24+AJ24)/(AI24+AJ24+AK24+AM24)))</f>
        <v/>
      </c>
      <c r="AO24" s="41">
        <f>IF($B24="","",IF('Employés'!D22="","",(AI24+AJ24+AL24)*'Employés'!D22))</f>
        <v/>
      </c>
    </row>
    <row r="25" ht="20" customHeight="1">
      <c r="A25" s="37">
        <f>IF('Employés'!B23="","",'Employés'!A23)</f>
        <v/>
      </c>
      <c r="B25" s="38">
        <f>IF('Employés'!B23="","",'Employés'!B23)</f>
        <v/>
      </c>
      <c r="C25" s="38">
        <f>IF('Employés'!C23="","",'Employés'!C23)</f>
        <v/>
      </c>
      <c r="D25" s="37" t="n"/>
      <c r="E25" s="37" t="n"/>
      <c r="F25" s="37" t="n"/>
      <c r="G25" s="37" t="n"/>
      <c r="H25" s="37" t="n"/>
      <c r="I25" s="37" t="n"/>
      <c r="J25" s="37" t="n"/>
      <c r="K25" s="37" t="n"/>
      <c r="L25" s="37" t="n"/>
      <c r="M25" s="37" t="n"/>
      <c r="N25" s="37" t="n"/>
      <c r="O25" s="37" t="n"/>
      <c r="P25" s="37" t="n"/>
      <c r="Q25" s="37" t="n"/>
      <c r="R25" s="37" t="n"/>
      <c r="S25" s="37" t="n"/>
      <c r="T25" s="37" t="n"/>
      <c r="U25" s="37" t="n"/>
      <c r="V25" s="37" t="n"/>
      <c r="W25" s="37" t="n"/>
      <c r="X25" s="37" t="n"/>
      <c r="Y25" s="37" t="n"/>
      <c r="Z25" s="37" t="n"/>
      <c r="AA25" s="37" t="n"/>
      <c r="AB25" s="37" t="n"/>
      <c r="AC25" s="37" t="n"/>
      <c r="AD25" s="37" t="n"/>
      <c r="AE25" s="37" t="n"/>
      <c r="AF25" s="37" t="n"/>
      <c r="AG25" s="37" t="n"/>
      <c r="AH25" s="37" t="n"/>
      <c r="AI25" s="39">
        <f>IF($B25="","",COUNTIF(D25:AH25,"P"))</f>
        <v/>
      </c>
      <c r="AJ25" s="39">
        <f>IF($B25="","",COUNTIF(D25:AH25,"R"))</f>
        <v/>
      </c>
      <c r="AK25" s="39">
        <f>IF($B25="","",COUNTIF(D25:AH25,"A"))</f>
        <v/>
      </c>
      <c r="AL25" s="39">
        <f>IF($B25="","",COUNTIF(D25:AH25,"C"))</f>
        <v/>
      </c>
      <c r="AM25" s="39">
        <f>IF($B25="","",COUNTIF(D25:AH25,"M"))</f>
        <v/>
      </c>
      <c r="AN25" s="40">
        <f>IF($B25="","",IF(AI25+AJ25+AK25+AM25=0,"",(AI25+AJ25)/(AI25+AJ25+AK25+AM25)))</f>
        <v/>
      </c>
      <c r="AO25" s="41">
        <f>IF($B25="","",IF('Employés'!D23="","",(AI25+AJ25+AL25)*'Employés'!D23))</f>
        <v/>
      </c>
    </row>
    <row r="26" ht="20" customHeight="1">
      <c r="A26" s="37">
        <f>IF('Employés'!B24="","",'Employés'!A24)</f>
        <v/>
      </c>
      <c r="B26" s="38">
        <f>IF('Employés'!B24="","",'Employés'!B24)</f>
        <v/>
      </c>
      <c r="C26" s="38">
        <f>IF('Employés'!C24="","",'Employés'!C24)</f>
        <v/>
      </c>
      <c r="D26" s="37" t="n"/>
      <c r="E26" s="37" t="n"/>
      <c r="F26" s="37" t="n"/>
      <c r="G26" s="37" t="n"/>
      <c r="H26" s="37" t="n"/>
      <c r="I26" s="37" t="n"/>
      <c r="J26" s="37" t="n"/>
      <c r="K26" s="37" t="n"/>
      <c r="L26" s="37" t="n"/>
      <c r="M26" s="37" t="n"/>
      <c r="N26" s="37" t="n"/>
      <c r="O26" s="37" t="n"/>
      <c r="P26" s="37" t="n"/>
      <c r="Q26" s="37" t="n"/>
      <c r="R26" s="37" t="n"/>
      <c r="S26" s="37" t="n"/>
      <c r="T26" s="37" t="n"/>
      <c r="U26" s="37" t="n"/>
      <c r="V26" s="37" t="n"/>
      <c r="W26" s="37" t="n"/>
      <c r="X26" s="37" t="n"/>
      <c r="Y26" s="37" t="n"/>
      <c r="Z26" s="37" t="n"/>
      <c r="AA26" s="37" t="n"/>
      <c r="AB26" s="37" t="n"/>
      <c r="AC26" s="37" t="n"/>
      <c r="AD26" s="37" t="n"/>
      <c r="AE26" s="37" t="n"/>
      <c r="AF26" s="37" t="n"/>
      <c r="AG26" s="37" t="n"/>
      <c r="AH26" s="37" t="n"/>
      <c r="AI26" s="39">
        <f>IF($B26="","",COUNTIF(D26:AH26,"P"))</f>
        <v/>
      </c>
      <c r="AJ26" s="39">
        <f>IF($B26="","",COUNTIF(D26:AH26,"R"))</f>
        <v/>
      </c>
      <c r="AK26" s="39">
        <f>IF($B26="","",COUNTIF(D26:AH26,"A"))</f>
        <v/>
      </c>
      <c r="AL26" s="39">
        <f>IF($B26="","",COUNTIF(D26:AH26,"C"))</f>
        <v/>
      </c>
      <c r="AM26" s="39">
        <f>IF($B26="","",COUNTIF(D26:AH26,"M"))</f>
        <v/>
      </c>
      <c r="AN26" s="40">
        <f>IF($B26="","",IF(AI26+AJ26+AK26+AM26=0,"",(AI26+AJ26)/(AI26+AJ26+AK26+AM26)))</f>
        <v/>
      </c>
      <c r="AO26" s="41">
        <f>IF($B26="","",IF('Employés'!D24="","",(AI26+AJ26+AL26)*'Employés'!D24))</f>
        <v/>
      </c>
    </row>
    <row r="27" ht="20" customHeight="1">
      <c r="A27" s="37">
        <f>IF('Employés'!B25="","",'Employés'!A25)</f>
        <v/>
      </c>
      <c r="B27" s="38">
        <f>IF('Employés'!B25="","",'Employés'!B25)</f>
        <v/>
      </c>
      <c r="C27" s="38">
        <f>IF('Employés'!C25="","",'Employés'!C25)</f>
        <v/>
      </c>
      <c r="D27" s="37" t="n"/>
      <c r="E27" s="37" t="n"/>
      <c r="F27" s="37" t="n"/>
      <c r="G27" s="37" t="n"/>
      <c r="H27" s="37" t="n"/>
      <c r="I27" s="37" t="n"/>
      <c r="J27" s="37" t="n"/>
      <c r="K27" s="37" t="n"/>
      <c r="L27" s="37" t="n"/>
      <c r="M27" s="37" t="n"/>
      <c r="N27" s="37" t="n"/>
      <c r="O27" s="37" t="n"/>
      <c r="P27" s="37" t="n"/>
      <c r="Q27" s="37" t="n"/>
      <c r="R27" s="37" t="n"/>
      <c r="S27" s="37" t="n"/>
      <c r="T27" s="37" t="n"/>
      <c r="U27" s="37" t="n"/>
      <c r="V27" s="37" t="n"/>
      <c r="W27" s="37" t="n"/>
      <c r="X27" s="37" t="n"/>
      <c r="Y27" s="37" t="n"/>
      <c r="Z27" s="37" t="n"/>
      <c r="AA27" s="37" t="n"/>
      <c r="AB27" s="37" t="n"/>
      <c r="AC27" s="37" t="n"/>
      <c r="AD27" s="37" t="n"/>
      <c r="AE27" s="37" t="n"/>
      <c r="AF27" s="37" t="n"/>
      <c r="AG27" s="37" t="n"/>
      <c r="AH27" s="37" t="n"/>
      <c r="AI27" s="39">
        <f>IF($B27="","",COUNTIF(D27:AH27,"P"))</f>
        <v/>
      </c>
      <c r="AJ27" s="39">
        <f>IF($B27="","",COUNTIF(D27:AH27,"R"))</f>
        <v/>
      </c>
      <c r="AK27" s="39">
        <f>IF($B27="","",COUNTIF(D27:AH27,"A"))</f>
        <v/>
      </c>
      <c r="AL27" s="39">
        <f>IF($B27="","",COUNTIF(D27:AH27,"C"))</f>
        <v/>
      </c>
      <c r="AM27" s="39">
        <f>IF($B27="","",COUNTIF(D27:AH27,"M"))</f>
        <v/>
      </c>
      <c r="AN27" s="40">
        <f>IF($B27="","",IF(AI27+AJ27+AK27+AM27=0,"",(AI27+AJ27)/(AI27+AJ27+AK27+AM27)))</f>
        <v/>
      </c>
      <c r="AO27" s="41">
        <f>IF($B27="","",IF('Employés'!D25="","",(AI27+AJ27+AL27)*'Employés'!D25))</f>
        <v/>
      </c>
    </row>
    <row r="28" ht="20" customHeight="1">
      <c r="A28" s="37">
        <f>IF('Employés'!B26="","",'Employés'!A26)</f>
        <v/>
      </c>
      <c r="B28" s="38">
        <f>IF('Employés'!B26="","",'Employés'!B26)</f>
        <v/>
      </c>
      <c r="C28" s="38">
        <f>IF('Employés'!C26="","",'Employés'!C26)</f>
        <v/>
      </c>
      <c r="D28" s="37" t="n"/>
      <c r="E28" s="37" t="n"/>
      <c r="F28" s="37" t="n"/>
      <c r="G28" s="37" t="n"/>
      <c r="H28" s="37" t="n"/>
      <c r="I28" s="37" t="n"/>
      <c r="J28" s="37" t="n"/>
      <c r="K28" s="37" t="n"/>
      <c r="L28" s="37" t="n"/>
      <c r="M28" s="37" t="n"/>
      <c r="N28" s="37" t="n"/>
      <c r="O28" s="37" t="n"/>
      <c r="P28" s="37" t="n"/>
      <c r="Q28" s="37" t="n"/>
      <c r="R28" s="37" t="n"/>
      <c r="S28" s="37" t="n"/>
      <c r="T28" s="37" t="n"/>
      <c r="U28" s="37" t="n"/>
      <c r="V28" s="37" t="n"/>
      <c r="W28" s="37" t="n"/>
      <c r="X28" s="37" t="n"/>
      <c r="Y28" s="37" t="n"/>
      <c r="Z28" s="37" t="n"/>
      <c r="AA28" s="37" t="n"/>
      <c r="AB28" s="37" t="n"/>
      <c r="AC28" s="37" t="n"/>
      <c r="AD28" s="37" t="n"/>
      <c r="AE28" s="37" t="n"/>
      <c r="AF28" s="37" t="n"/>
      <c r="AG28" s="37" t="n"/>
      <c r="AH28" s="37" t="n"/>
      <c r="AI28" s="39">
        <f>IF($B28="","",COUNTIF(D28:AH28,"P"))</f>
        <v/>
      </c>
      <c r="AJ28" s="39">
        <f>IF($B28="","",COUNTIF(D28:AH28,"R"))</f>
        <v/>
      </c>
      <c r="AK28" s="39">
        <f>IF($B28="","",COUNTIF(D28:AH28,"A"))</f>
        <v/>
      </c>
      <c r="AL28" s="39">
        <f>IF($B28="","",COUNTIF(D28:AH28,"C"))</f>
        <v/>
      </c>
      <c r="AM28" s="39">
        <f>IF($B28="","",COUNTIF(D28:AH28,"M"))</f>
        <v/>
      </c>
      <c r="AN28" s="40">
        <f>IF($B28="","",IF(AI28+AJ28+AK28+AM28=0,"",(AI28+AJ28)/(AI28+AJ28+AK28+AM28)))</f>
        <v/>
      </c>
      <c r="AO28" s="41">
        <f>IF($B28="","",IF('Employés'!D26="","",(AI28+AJ28+AL28)*'Employés'!D26))</f>
        <v/>
      </c>
    </row>
    <row r="29" ht="20" customHeight="1">
      <c r="A29" s="37">
        <f>IF('Employés'!B27="","",'Employés'!A27)</f>
        <v/>
      </c>
      <c r="B29" s="38">
        <f>IF('Employés'!B27="","",'Employés'!B27)</f>
        <v/>
      </c>
      <c r="C29" s="38">
        <f>IF('Employés'!C27="","",'Employés'!C27)</f>
        <v/>
      </c>
      <c r="D29" s="37" t="n"/>
      <c r="E29" s="37" t="n"/>
      <c r="F29" s="37" t="n"/>
      <c r="G29" s="37" t="n"/>
      <c r="H29" s="37" t="n"/>
      <c r="I29" s="37" t="n"/>
      <c r="J29" s="37" t="n"/>
      <c r="K29" s="37" t="n"/>
      <c r="L29" s="37" t="n"/>
      <c r="M29" s="37" t="n"/>
      <c r="N29" s="37" t="n"/>
      <c r="O29" s="37" t="n"/>
      <c r="P29" s="37" t="n"/>
      <c r="Q29" s="37" t="n"/>
      <c r="R29" s="37" t="n"/>
      <c r="S29" s="37" t="n"/>
      <c r="T29" s="37" t="n"/>
      <c r="U29" s="37" t="n"/>
      <c r="V29" s="37" t="n"/>
      <c r="W29" s="37" t="n"/>
      <c r="X29" s="37" t="n"/>
      <c r="Y29" s="37" t="n"/>
      <c r="Z29" s="37" t="n"/>
      <c r="AA29" s="37" t="n"/>
      <c r="AB29" s="37" t="n"/>
      <c r="AC29" s="37" t="n"/>
      <c r="AD29" s="37" t="n"/>
      <c r="AE29" s="37" t="n"/>
      <c r="AF29" s="37" t="n"/>
      <c r="AG29" s="37" t="n"/>
      <c r="AH29" s="37" t="n"/>
      <c r="AI29" s="39">
        <f>IF($B29="","",COUNTIF(D29:AH29,"P"))</f>
        <v/>
      </c>
      <c r="AJ29" s="39">
        <f>IF($B29="","",COUNTIF(D29:AH29,"R"))</f>
        <v/>
      </c>
      <c r="AK29" s="39">
        <f>IF($B29="","",COUNTIF(D29:AH29,"A"))</f>
        <v/>
      </c>
      <c r="AL29" s="39">
        <f>IF($B29="","",COUNTIF(D29:AH29,"C"))</f>
        <v/>
      </c>
      <c r="AM29" s="39">
        <f>IF($B29="","",COUNTIF(D29:AH29,"M"))</f>
        <v/>
      </c>
      <c r="AN29" s="40">
        <f>IF($B29="","",IF(AI29+AJ29+AK29+AM29=0,"",(AI29+AJ29)/(AI29+AJ29+AK29+AM29)))</f>
        <v/>
      </c>
      <c r="AO29" s="41">
        <f>IF($B29="","",IF('Employés'!D27="","",(AI29+AJ29+AL29)*'Employés'!D27))</f>
        <v/>
      </c>
    </row>
    <row r="30" ht="20" customHeight="1">
      <c r="A30" s="37">
        <f>IF('Employés'!B28="","",'Employés'!A28)</f>
        <v/>
      </c>
      <c r="B30" s="38">
        <f>IF('Employés'!B28="","",'Employés'!B28)</f>
        <v/>
      </c>
      <c r="C30" s="38">
        <f>IF('Employés'!C28="","",'Employés'!C28)</f>
        <v/>
      </c>
      <c r="D30" s="37" t="n"/>
      <c r="E30" s="37" t="n"/>
      <c r="F30" s="37" t="n"/>
      <c r="G30" s="37" t="n"/>
      <c r="H30" s="37" t="n"/>
      <c r="I30" s="37" t="n"/>
      <c r="J30" s="37" t="n"/>
      <c r="K30" s="37" t="n"/>
      <c r="L30" s="37" t="n"/>
      <c r="M30" s="37" t="n"/>
      <c r="N30" s="37" t="n"/>
      <c r="O30" s="37" t="n"/>
      <c r="P30" s="37" t="n"/>
      <c r="Q30" s="37" t="n"/>
      <c r="R30" s="37" t="n"/>
      <c r="S30" s="37" t="n"/>
      <c r="T30" s="37" t="n"/>
      <c r="U30" s="37" t="n"/>
      <c r="V30" s="37" t="n"/>
      <c r="W30" s="37" t="n"/>
      <c r="X30" s="37" t="n"/>
      <c r="Y30" s="37" t="n"/>
      <c r="Z30" s="37" t="n"/>
      <c r="AA30" s="37" t="n"/>
      <c r="AB30" s="37" t="n"/>
      <c r="AC30" s="37" t="n"/>
      <c r="AD30" s="37" t="n"/>
      <c r="AE30" s="37" t="n"/>
      <c r="AF30" s="37" t="n"/>
      <c r="AG30" s="37" t="n"/>
      <c r="AH30" s="37" t="n"/>
      <c r="AI30" s="39">
        <f>IF($B30="","",COUNTIF(D30:AH30,"P"))</f>
        <v/>
      </c>
      <c r="AJ30" s="39">
        <f>IF($B30="","",COUNTIF(D30:AH30,"R"))</f>
        <v/>
      </c>
      <c r="AK30" s="39">
        <f>IF($B30="","",COUNTIF(D30:AH30,"A"))</f>
        <v/>
      </c>
      <c r="AL30" s="39">
        <f>IF($B30="","",COUNTIF(D30:AH30,"C"))</f>
        <v/>
      </c>
      <c r="AM30" s="39">
        <f>IF($B30="","",COUNTIF(D30:AH30,"M"))</f>
        <v/>
      </c>
      <c r="AN30" s="40">
        <f>IF($B30="","",IF(AI30+AJ30+AK30+AM30=0,"",(AI30+AJ30)/(AI30+AJ30+AK30+AM30)))</f>
        <v/>
      </c>
      <c r="AO30" s="41">
        <f>IF($B30="","",IF('Employés'!D28="","",(AI30+AJ30+AL30)*'Employés'!D28))</f>
        <v/>
      </c>
    </row>
    <row r="31" ht="20" customHeight="1">
      <c r="A31" s="37">
        <f>IF('Employés'!B29="","",'Employés'!A29)</f>
        <v/>
      </c>
      <c r="B31" s="38">
        <f>IF('Employés'!B29="","",'Employés'!B29)</f>
        <v/>
      </c>
      <c r="C31" s="38">
        <f>IF('Employés'!C29="","",'Employés'!C29)</f>
        <v/>
      </c>
      <c r="D31" s="37" t="n"/>
      <c r="E31" s="37" t="n"/>
      <c r="F31" s="37" t="n"/>
      <c r="G31" s="37" t="n"/>
      <c r="H31" s="37" t="n"/>
      <c r="I31" s="37" t="n"/>
      <c r="J31" s="37" t="n"/>
      <c r="K31" s="37" t="n"/>
      <c r="L31" s="37" t="n"/>
      <c r="M31" s="37" t="n"/>
      <c r="N31" s="37" t="n"/>
      <c r="O31" s="37" t="n"/>
      <c r="P31" s="37" t="n"/>
      <c r="Q31" s="37" t="n"/>
      <c r="R31" s="37" t="n"/>
      <c r="S31" s="37" t="n"/>
      <c r="T31" s="37" t="n"/>
      <c r="U31" s="37" t="n"/>
      <c r="V31" s="37" t="n"/>
      <c r="W31" s="37" t="n"/>
      <c r="X31" s="37" t="n"/>
      <c r="Y31" s="37" t="n"/>
      <c r="Z31" s="37" t="n"/>
      <c r="AA31" s="37" t="n"/>
      <c r="AB31" s="37" t="n"/>
      <c r="AC31" s="37" t="n"/>
      <c r="AD31" s="37" t="n"/>
      <c r="AE31" s="37" t="n"/>
      <c r="AF31" s="37" t="n"/>
      <c r="AG31" s="37" t="n"/>
      <c r="AH31" s="37" t="n"/>
      <c r="AI31" s="39">
        <f>IF($B31="","",COUNTIF(D31:AH31,"P"))</f>
        <v/>
      </c>
      <c r="AJ31" s="39">
        <f>IF($B31="","",COUNTIF(D31:AH31,"R"))</f>
        <v/>
      </c>
      <c r="AK31" s="39">
        <f>IF($B31="","",COUNTIF(D31:AH31,"A"))</f>
        <v/>
      </c>
      <c r="AL31" s="39">
        <f>IF($B31="","",COUNTIF(D31:AH31,"C"))</f>
        <v/>
      </c>
      <c r="AM31" s="39">
        <f>IF($B31="","",COUNTIF(D31:AH31,"M"))</f>
        <v/>
      </c>
      <c r="AN31" s="40">
        <f>IF($B31="","",IF(AI31+AJ31+AK31+AM31=0,"",(AI31+AJ31)/(AI31+AJ31+AK31+AM31)))</f>
        <v/>
      </c>
      <c r="AO31" s="41">
        <f>IF($B31="","",IF('Employés'!D29="","",(AI31+AJ31+AL31)*'Employés'!D29))</f>
        <v/>
      </c>
    </row>
    <row r="32" ht="20" customHeight="1">
      <c r="A32" s="37">
        <f>IF('Employés'!B30="","",'Employés'!A30)</f>
        <v/>
      </c>
      <c r="B32" s="38">
        <f>IF('Employés'!B30="","",'Employés'!B30)</f>
        <v/>
      </c>
      <c r="C32" s="38">
        <f>IF('Employés'!C30="","",'Employés'!C30)</f>
        <v/>
      </c>
      <c r="D32" s="37" t="n"/>
      <c r="E32" s="37" t="n"/>
      <c r="F32" s="37" t="n"/>
      <c r="G32" s="37" t="n"/>
      <c r="H32" s="37" t="n"/>
      <c r="I32" s="37" t="n"/>
      <c r="J32" s="37" t="n"/>
      <c r="K32" s="37" t="n"/>
      <c r="L32" s="37" t="n"/>
      <c r="M32" s="37" t="n"/>
      <c r="N32" s="37" t="n"/>
      <c r="O32" s="37" t="n"/>
      <c r="P32" s="37" t="n"/>
      <c r="Q32" s="37" t="n"/>
      <c r="R32" s="37" t="n"/>
      <c r="S32" s="37" t="n"/>
      <c r="T32" s="37" t="n"/>
      <c r="U32" s="37" t="n"/>
      <c r="V32" s="37" t="n"/>
      <c r="W32" s="37" t="n"/>
      <c r="X32" s="37" t="n"/>
      <c r="Y32" s="37" t="n"/>
      <c r="Z32" s="37" t="n"/>
      <c r="AA32" s="37" t="n"/>
      <c r="AB32" s="37" t="n"/>
      <c r="AC32" s="37" t="n"/>
      <c r="AD32" s="37" t="n"/>
      <c r="AE32" s="37" t="n"/>
      <c r="AF32" s="37" t="n"/>
      <c r="AG32" s="37" t="n"/>
      <c r="AH32" s="37" t="n"/>
      <c r="AI32" s="39">
        <f>IF($B32="","",COUNTIF(D32:AH32,"P"))</f>
        <v/>
      </c>
      <c r="AJ32" s="39">
        <f>IF($B32="","",COUNTIF(D32:AH32,"R"))</f>
        <v/>
      </c>
      <c r="AK32" s="39">
        <f>IF($B32="","",COUNTIF(D32:AH32,"A"))</f>
        <v/>
      </c>
      <c r="AL32" s="39">
        <f>IF($B32="","",COUNTIF(D32:AH32,"C"))</f>
        <v/>
      </c>
      <c r="AM32" s="39">
        <f>IF($B32="","",COUNTIF(D32:AH32,"M"))</f>
        <v/>
      </c>
      <c r="AN32" s="40">
        <f>IF($B32="","",IF(AI32+AJ32+AK32+AM32=0,"",(AI32+AJ32)/(AI32+AJ32+AK32+AM32)))</f>
        <v/>
      </c>
      <c r="AO32" s="41">
        <f>IF($B32="","",IF('Employés'!D30="","",(AI32+AJ32+AL32)*'Employés'!D30))</f>
        <v/>
      </c>
    </row>
    <row r="33" ht="20" customHeight="1">
      <c r="A33" s="37">
        <f>IF('Employés'!B31="","",'Employés'!A31)</f>
        <v/>
      </c>
      <c r="B33" s="38">
        <f>IF('Employés'!B31="","",'Employés'!B31)</f>
        <v/>
      </c>
      <c r="C33" s="38">
        <f>IF('Employés'!C31="","",'Employés'!C31)</f>
        <v/>
      </c>
      <c r="D33" s="37" t="n"/>
      <c r="E33" s="37" t="n"/>
      <c r="F33" s="37" t="n"/>
      <c r="G33" s="37" t="n"/>
      <c r="H33" s="37" t="n"/>
      <c r="I33" s="37" t="n"/>
      <c r="J33" s="37" t="n"/>
      <c r="K33" s="37" t="n"/>
      <c r="L33" s="37" t="n"/>
      <c r="M33" s="37" t="n"/>
      <c r="N33" s="37" t="n"/>
      <c r="O33" s="37" t="n"/>
      <c r="P33" s="37" t="n"/>
      <c r="Q33" s="37" t="n"/>
      <c r="R33" s="37" t="n"/>
      <c r="S33" s="37" t="n"/>
      <c r="T33" s="37" t="n"/>
      <c r="U33" s="37" t="n"/>
      <c r="V33" s="37" t="n"/>
      <c r="W33" s="37" t="n"/>
      <c r="X33" s="37" t="n"/>
      <c r="Y33" s="37" t="n"/>
      <c r="Z33" s="37" t="n"/>
      <c r="AA33" s="37" t="n"/>
      <c r="AB33" s="37" t="n"/>
      <c r="AC33" s="37" t="n"/>
      <c r="AD33" s="37" t="n"/>
      <c r="AE33" s="37" t="n"/>
      <c r="AF33" s="37" t="n"/>
      <c r="AG33" s="37" t="n"/>
      <c r="AH33" s="37" t="n"/>
      <c r="AI33" s="39">
        <f>IF($B33="","",COUNTIF(D33:AH33,"P"))</f>
        <v/>
      </c>
      <c r="AJ33" s="39">
        <f>IF($B33="","",COUNTIF(D33:AH33,"R"))</f>
        <v/>
      </c>
      <c r="AK33" s="39">
        <f>IF($B33="","",COUNTIF(D33:AH33,"A"))</f>
        <v/>
      </c>
      <c r="AL33" s="39">
        <f>IF($B33="","",COUNTIF(D33:AH33,"C"))</f>
        <v/>
      </c>
      <c r="AM33" s="39">
        <f>IF($B33="","",COUNTIF(D33:AH33,"M"))</f>
        <v/>
      </c>
      <c r="AN33" s="40">
        <f>IF($B33="","",IF(AI33+AJ33+AK33+AM33=0,"",(AI33+AJ33)/(AI33+AJ33+AK33+AM33)))</f>
        <v/>
      </c>
      <c r="AO33" s="41">
        <f>IF($B33="","",IF('Employés'!D31="","",(AI33+AJ33+AL33)*'Employés'!D31))</f>
        <v/>
      </c>
    </row>
    <row r="34" ht="20" customHeight="1">
      <c r="A34" s="37">
        <f>IF('Employés'!B32="","",'Employés'!A32)</f>
        <v/>
      </c>
      <c r="B34" s="38">
        <f>IF('Employés'!B32="","",'Employés'!B32)</f>
        <v/>
      </c>
      <c r="C34" s="38">
        <f>IF('Employés'!C32="","",'Employés'!C32)</f>
        <v/>
      </c>
      <c r="D34" s="37" t="n"/>
      <c r="E34" s="37" t="n"/>
      <c r="F34" s="37" t="n"/>
      <c r="G34" s="37" t="n"/>
      <c r="H34" s="37" t="n"/>
      <c r="I34" s="37" t="n"/>
      <c r="J34" s="37" t="n"/>
      <c r="K34" s="37" t="n"/>
      <c r="L34" s="37" t="n"/>
      <c r="M34" s="37" t="n"/>
      <c r="N34" s="37" t="n"/>
      <c r="O34" s="37" t="n"/>
      <c r="P34" s="37" t="n"/>
      <c r="Q34" s="37" t="n"/>
      <c r="R34" s="37" t="n"/>
      <c r="S34" s="37" t="n"/>
      <c r="T34" s="37" t="n"/>
      <c r="U34" s="37" t="n"/>
      <c r="V34" s="37" t="n"/>
      <c r="W34" s="37" t="n"/>
      <c r="X34" s="37" t="n"/>
      <c r="Y34" s="37" t="n"/>
      <c r="Z34" s="37" t="n"/>
      <c r="AA34" s="37" t="n"/>
      <c r="AB34" s="37" t="n"/>
      <c r="AC34" s="37" t="n"/>
      <c r="AD34" s="37" t="n"/>
      <c r="AE34" s="37" t="n"/>
      <c r="AF34" s="37" t="n"/>
      <c r="AG34" s="37" t="n"/>
      <c r="AH34" s="37" t="n"/>
      <c r="AI34" s="39">
        <f>IF($B34="","",COUNTIF(D34:AH34,"P"))</f>
        <v/>
      </c>
      <c r="AJ34" s="39">
        <f>IF($B34="","",COUNTIF(D34:AH34,"R"))</f>
        <v/>
      </c>
      <c r="AK34" s="39">
        <f>IF($B34="","",COUNTIF(D34:AH34,"A"))</f>
        <v/>
      </c>
      <c r="AL34" s="39">
        <f>IF($B34="","",COUNTIF(D34:AH34,"C"))</f>
        <v/>
      </c>
      <c r="AM34" s="39">
        <f>IF($B34="","",COUNTIF(D34:AH34,"M"))</f>
        <v/>
      </c>
      <c r="AN34" s="40">
        <f>IF($B34="","",IF(AI34+AJ34+AK34+AM34=0,"",(AI34+AJ34)/(AI34+AJ34+AK34+AM34)))</f>
        <v/>
      </c>
      <c r="AO34" s="41">
        <f>IF($B34="","",IF('Employés'!D32="","",(AI34+AJ34+AL34)*'Employés'!D32))</f>
        <v/>
      </c>
    </row>
    <row r="35" ht="20" customHeight="1">
      <c r="A35" s="37">
        <f>IF('Employés'!B33="","",'Employés'!A33)</f>
        <v/>
      </c>
      <c r="B35" s="38">
        <f>IF('Employés'!B33="","",'Employés'!B33)</f>
        <v/>
      </c>
      <c r="C35" s="38">
        <f>IF('Employés'!C33="","",'Employés'!C33)</f>
        <v/>
      </c>
      <c r="D35" s="37" t="n"/>
      <c r="E35" s="37" t="n"/>
      <c r="F35" s="37" t="n"/>
      <c r="G35" s="37" t="n"/>
      <c r="H35" s="37" t="n"/>
      <c r="I35" s="37" t="n"/>
      <c r="J35" s="37" t="n"/>
      <c r="K35" s="37" t="n"/>
      <c r="L35" s="37" t="n"/>
      <c r="M35" s="37" t="n"/>
      <c r="N35" s="37" t="n"/>
      <c r="O35" s="37" t="n"/>
      <c r="P35" s="37" t="n"/>
      <c r="Q35" s="37" t="n"/>
      <c r="R35" s="37" t="n"/>
      <c r="S35" s="37" t="n"/>
      <c r="T35" s="37" t="n"/>
      <c r="U35" s="37" t="n"/>
      <c r="V35" s="37" t="n"/>
      <c r="W35" s="37" t="n"/>
      <c r="X35" s="37" t="n"/>
      <c r="Y35" s="37" t="n"/>
      <c r="Z35" s="37" t="n"/>
      <c r="AA35" s="37" t="n"/>
      <c r="AB35" s="37" t="n"/>
      <c r="AC35" s="37" t="n"/>
      <c r="AD35" s="37" t="n"/>
      <c r="AE35" s="37" t="n"/>
      <c r="AF35" s="37" t="n"/>
      <c r="AG35" s="37" t="n"/>
      <c r="AH35" s="37" t="n"/>
      <c r="AI35" s="39">
        <f>IF($B35="","",COUNTIF(D35:AH35,"P"))</f>
        <v/>
      </c>
      <c r="AJ35" s="39">
        <f>IF($B35="","",COUNTIF(D35:AH35,"R"))</f>
        <v/>
      </c>
      <c r="AK35" s="39">
        <f>IF($B35="","",COUNTIF(D35:AH35,"A"))</f>
        <v/>
      </c>
      <c r="AL35" s="39">
        <f>IF($B35="","",COUNTIF(D35:AH35,"C"))</f>
        <v/>
      </c>
      <c r="AM35" s="39">
        <f>IF($B35="","",COUNTIF(D35:AH35,"M"))</f>
        <v/>
      </c>
      <c r="AN35" s="40">
        <f>IF($B35="","",IF(AI35+AJ35+AK35+AM35=0,"",(AI35+AJ35)/(AI35+AJ35+AK35+AM35)))</f>
        <v/>
      </c>
      <c r="AO35" s="41">
        <f>IF($B35="","",IF('Employés'!D33="","",(AI35+AJ35+AL35)*'Employés'!D33))</f>
        <v/>
      </c>
    </row>
    <row r="36" ht="20" customHeight="1">
      <c r="A36" s="37">
        <f>IF('Employés'!B34="","",'Employés'!A34)</f>
        <v/>
      </c>
      <c r="B36" s="38">
        <f>IF('Employés'!B34="","",'Employés'!B34)</f>
        <v/>
      </c>
      <c r="C36" s="38">
        <f>IF('Employés'!C34="","",'Employés'!C34)</f>
        <v/>
      </c>
      <c r="D36" s="37" t="n"/>
      <c r="E36" s="37" t="n"/>
      <c r="F36" s="37" t="n"/>
      <c r="G36" s="37" t="n"/>
      <c r="H36" s="37" t="n"/>
      <c r="I36" s="37" t="n"/>
      <c r="J36" s="37" t="n"/>
      <c r="K36" s="37" t="n"/>
      <c r="L36" s="37" t="n"/>
      <c r="M36" s="37" t="n"/>
      <c r="N36" s="37" t="n"/>
      <c r="O36" s="37" t="n"/>
      <c r="P36" s="37" t="n"/>
      <c r="Q36" s="37" t="n"/>
      <c r="R36" s="37" t="n"/>
      <c r="S36" s="37" t="n"/>
      <c r="T36" s="37" t="n"/>
      <c r="U36" s="37" t="n"/>
      <c r="V36" s="37" t="n"/>
      <c r="W36" s="37" t="n"/>
      <c r="X36" s="37" t="n"/>
      <c r="Y36" s="37" t="n"/>
      <c r="Z36" s="37" t="n"/>
      <c r="AA36" s="37" t="n"/>
      <c r="AB36" s="37" t="n"/>
      <c r="AC36" s="37" t="n"/>
      <c r="AD36" s="37" t="n"/>
      <c r="AE36" s="37" t="n"/>
      <c r="AF36" s="37" t="n"/>
      <c r="AG36" s="37" t="n"/>
      <c r="AH36" s="37" t="n"/>
      <c r="AI36" s="39">
        <f>IF($B36="","",COUNTIF(D36:AH36,"P"))</f>
        <v/>
      </c>
      <c r="AJ36" s="39">
        <f>IF($B36="","",COUNTIF(D36:AH36,"R"))</f>
        <v/>
      </c>
      <c r="AK36" s="39">
        <f>IF($B36="","",COUNTIF(D36:AH36,"A"))</f>
        <v/>
      </c>
      <c r="AL36" s="39">
        <f>IF($B36="","",COUNTIF(D36:AH36,"C"))</f>
        <v/>
      </c>
      <c r="AM36" s="39">
        <f>IF($B36="","",COUNTIF(D36:AH36,"M"))</f>
        <v/>
      </c>
      <c r="AN36" s="40">
        <f>IF($B36="","",IF(AI36+AJ36+AK36+AM36=0,"",(AI36+AJ36)/(AI36+AJ36+AK36+AM36)))</f>
        <v/>
      </c>
      <c r="AO36" s="41">
        <f>IF($B36="","",IF('Employés'!D34="","",(AI36+AJ36+AL36)*'Employés'!D34))</f>
        <v/>
      </c>
    </row>
    <row r="37">
      <c r="A37" s="42" t="n"/>
      <c r="B37" s="42" t="inlineStr">
        <is>
          <t>TOTAL</t>
        </is>
      </c>
      <c r="C37" s="42" t="n"/>
      <c r="D37" s="42" t="n"/>
      <c r="E37" s="42" t="n"/>
      <c r="F37" s="42" t="n"/>
      <c r="G37" s="42" t="n"/>
      <c r="H37" s="42" t="n"/>
      <c r="I37" s="42" t="n"/>
      <c r="J37" s="42" t="n"/>
      <c r="K37" s="42" t="n"/>
      <c r="L37" s="42" t="n"/>
      <c r="M37" s="42" t="n"/>
      <c r="N37" s="42" t="n"/>
      <c r="O37" s="42" t="n"/>
      <c r="P37" s="42" t="n"/>
      <c r="Q37" s="42" t="n"/>
      <c r="R37" s="42" t="n"/>
      <c r="S37" s="42" t="n"/>
      <c r="T37" s="42" t="n"/>
      <c r="U37" s="42" t="n"/>
      <c r="V37" s="42" t="n"/>
      <c r="W37" s="42" t="n"/>
      <c r="X37" s="42" t="n"/>
      <c r="Y37" s="42" t="n"/>
      <c r="Z37" s="42" t="n"/>
      <c r="AA37" s="42" t="n"/>
      <c r="AB37" s="42" t="n"/>
      <c r="AC37" s="42" t="n"/>
      <c r="AD37" s="42" t="n"/>
      <c r="AE37" s="42" t="n"/>
      <c r="AF37" s="42" t="n"/>
      <c r="AG37" s="42" t="n"/>
      <c r="AH37" s="42" t="n"/>
      <c r="AI37" s="42">
        <f>SUM(AI7:AI36)</f>
        <v/>
      </c>
      <c r="AJ37" s="42">
        <f>SUM(AJ7:AJ36)</f>
        <v/>
      </c>
      <c r="AK37" s="42">
        <f>SUM(AK7:AK36)</f>
        <v/>
      </c>
      <c r="AL37" s="42">
        <f>SUM(AL7:AL36)</f>
        <v/>
      </c>
      <c r="AM37" s="42">
        <f>SUM(AM7:AM36)</f>
        <v/>
      </c>
      <c r="AN37" s="42" t="n"/>
      <c r="AO37" s="43">
        <f>SUM(AO7:AO36)</f>
        <v/>
      </c>
    </row>
  </sheetData>
  <mergeCells count="17">
    <mergeCell ref="A5:A6"/>
    <mergeCell ref="A2:AO2"/>
    <mergeCell ref="AI5:AI6"/>
    <mergeCell ref="D3:G3"/>
    <mergeCell ref="S3:V3"/>
    <mergeCell ref="X3:AA3"/>
    <mergeCell ref="AJ5:AJ6"/>
    <mergeCell ref="AK5:AK6"/>
    <mergeCell ref="I3:L3"/>
    <mergeCell ref="AL5:AL6"/>
    <mergeCell ref="AM5:AM6"/>
    <mergeCell ref="AN5:AN6"/>
    <mergeCell ref="A1:AO1"/>
    <mergeCell ref="N3:Q3"/>
    <mergeCell ref="AO5:AO6"/>
    <mergeCell ref="B5:B6"/>
    <mergeCell ref="C5:C6"/>
  </mergeCells>
  <conditionalFormatting sqref="D7:AH36">
    <cfRule type="expression" priority="1" dxfId="0">
      <formula>UPPER(D7)="P"</formula>
    </cfRule>
    <cfRule type="expression" priority="2" dxfId="1">
      <formula>UPPER(D7)="R"</formula>
    </cfRule>
    <cfRule type="expression" priority="3" dxfId="2">
      <formula>UPPER(D7)="A"</formula>
    </cfRule>
    <cfRule type="expression" priority="4" dxfId="3">
      <formula>UPPER(D7)="C"</formula>
    </cfRule>
    <cfRule type="expression" priority="5" dxfId="4">
      <formula>UPPER(D7)="M"</formula>
    </cfRule>
    <cfRule type="expression" priority="6" dxfId="5">
      <formula>OR(D$6="Sam",D$6="Dim",D$5="")</formula>
    </cfRule>
  </conditionalFormatting>
  <dataValidations count="1">
    <dataValidation sqref="D7:AH36" showDropDown="0" showInputMessage="0" showErrorMessage="1" allowBlank="1" errorTitle="Code inconnu" error="Utilisez P, R, A, C ou M." type="list">
      <formula1>"P,R,A,C,M"</formula1>
    </dataValidation>
  </dataValidations>
  <pageMargins left="0.75" right="0.75" top="1" bottom="1" header="0.5" footer="0.5"/>
  <pageSetup orientation="landscape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AO37"/>
  <sheetViews>
    <sheetView zoomScale="90" workbookViewId="0">
      <pane xSplit="3" ySplit="6" topLeftCell="D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24" customWidth="1" min="2" max="2"/>
    <col width="14" customWidth="1" min="3" max="3"/>
    <col width="4.6" customWidth="1" min="4" max="4"/>
    <col width="4.6" customWidth="1" min="5" max="5"/>
    <col width="4.6" customWidth="1" min="6" max="6"/>
    <col width="4.6" customWidth="1" min="7" max="7"/>
    <col width="4.6" customWidth="1" min="8" max="8"/>
    <col width="4.6" customWidth="1" min="9" max="9"/>
    <col width="4.6" customWidth="1" min="10" max="10"/>
    <col width="4.6" customWidth="1" min="11" max="11"/>
    <col width="4.6" customWidth="1" min="12" max="12"/>
    <col width="4.6" customWidth="1" min="13" max="13"/>
    <col width="4.6" customWidth="1" min="14" max="14"/>
    <col width="4.6" customWidth="1" min="15" max="15"/>
    <col width="4.6" customWidth="1" min="16" max="16"/>
    <col width="4.6" customWidth="1" min="17" max="17"/>
    <col width="4.6" customWidth="1" min="18" max="18"/>
    <col width="4.6" customWidth="1" min="19" max="19"/>
    <col width="4.6" customWidth="1" min="20" max="20"/>
    <col width="4.6" customWidth="1" min="21" max="21"/>
    <col width="4.6" customWidth="1" min="22" max="22"/>
    <col width="4.6" customWidth="1" min="23" max="23"/>
    <col width="4.6" customWidth="1" min="24" max="24"/>
    <col width="4.6" customWidth="1" min="25" max="25"/>
    <col width="4.6" customWidth="1" min="26" max="26"/>
    <col width="4.6" customWidth="1" min="27" max="27"/>
    <col width="4.6" customWidth="1" min="28" max="28"/>
    <col width="4.6" customWidth="1" min="29" max="29"/>
    <col width="4.6" customWidth="1" min="30" max="30"/>
    <col width="4.6" customWidth="1" min="31" max="31"/>
    <col width="4.6" customWidth="1" min="32" max="32"/>
    <col width="4.6" customWidth="1" min="33" max="33"/>
    <col width="4.6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13" customWidth="1" min="40" max="40"/>
    <col width="13" customWidth="1" min="41" max="41"/>
  </cols>
  <sheetData>
    <row r="1" ht="34" customHeight="1">
      <c r="A1" s="1">
        <f>'Paramètres'!$B$4&amp;" · Pointage de Juin "&amp;'Paramètres'!$B$5</f>
        <v/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</row>
    <row r="2" ht="20" customHeight="1">
      <c r="A2" s="3" t="inlineStr">
        <is>
          <t>Outil offert par Logia (DWTS) · Un logiciel sur mesure pour votre entreprise ? WhatsApp 062 67 14 45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2" t="n"/>
      <c r="AL2" s="2" t="n"/>
      <c r="AM2" s="2" t="n"/>
      <c r="AN2" s="2" t="n"/>
      <c r="AO2" s="2" t="n"/>
    </row>
    <row r="3">
      <c r="A3" s="6" t="inlineStr">
        <is>
          <t>Codes :</t>
        </is>
      </c>
      <c r="D3" s="30" t="inlineStr">
        <is>
          <t>P = Présent</t>
        </is>
      </c>
      <c r="I3" s="31" t="inlineStr">
        <is>
          <t>R = En retard</t>
        </is>
      </c>
      <c r="N3" s="32" t="inlineStr">
        <is>
          <t>A = Absent</t>
        </is>
      </c>
      <c r="S3" s="33" t="inlineStr">
        <is>
          <t>C = Congé</t>
        </is>
      </c>
      <c r="X3" s="34" t="inlineStr">
        <is>
          <t>M = Malade</t>
        </is>
      </c>
    </row>
    <row r="5" ht="22" customHeight="1">
      <c r="A5" s="35" t="inlineStr">
        <is>
          <t>ID</t>
        </is>
      </c>
      <c r="B5" s="35" t="inlineStr">
        <is>
          <t>Nom</t>
        </is>
      </c>
      <c r="C5" s="35" t="inlineStr">
        <is>
          <t>Poste</t>
        </is>
      </c>
      <c r="D5" s="35">
        <f>IF(MONTH(DATE('Paramètres'!$B$5,6,1))=6,1,"")</f>
        <v/>
      </c>
      <c r="E5" s="35">
        <f>IF(MONTH(DATE('Paramètres'!$B$5,6,2))=6,2,"")</f>
        <v/>
      </c>
      <c r="F5" s="35">
        <f>IF(MONTH(DATE('Paramètres'!$B$5,6,3))=6,3,"")</f>
        <v/>
      </c>
      <c r="G5" s="35">
        <f>IF(MONTH(DATE('Paramètres'!$B$5,6,4))=6,4,"")</f>
        <v/>
      </c>
      <c r="H5" s="35">
        <f>IF(MONTH(DATE('Paramètres'!$B$5,6,5))=6,5,"")</f>
        <v/>
      </c>
      <c r="I5" s="35">
        <f>IF(MONTH(DATE('Paramètres'!$B$5,6,6))=6,6,"")</f>
        <v/>
      </c>
      <c r="J5" s="35">
        <f>IF(MONTH(DATE('Paramètres'!$B$5,6,7))=6,7,"")</f>
        <v/>
      </c>
      <c r="K5" s="35">
        <f>IF(MONTH(DATE('Paramètres'!$B$5,6,8))=6,8,"")</f>
        <v/>
      </c>
      <c r="L5" s="35">
        <f>IF(MONTH(DATE('Paramètres'!$B$5,6,9))=6,9,"")</f>
        <v/>
      </c>
      <c r="M5" s="35">
        <f>IF(MONTH(DATE('Paramètres'!$B$5,6,10))=6,10,"")</f>
        <v/>
      </c>
      <c r="N5" s="35">
        <f>IF(MONTH(DATE('Paramètres'!$B$5,6,11))=6,11,"")</f>
        <v/>
      </c>
      <c r="O5" s="35">
        <f>IF(MONTH(DATE('Paramètres'!$B$5,6,12))=6,12,"")</f>
        <v/>
      </c>
      <c r="P5" s="35">
        <f>IF(MONTH(DATE('Paramètres'!$B$5,6,13))=6,13,"")</f>
        <v/>
      </c>
      <c r="Q5" s="35">
        <f>IF(MONTH(DATE('Paramètres'!$B$5,6,14))=6,14,"")</f>
        <v/>
      </c>
      <c r="R5" s="35">
        <f>IF(MONTH(DATE('Paramètres'!$B$5,6,15))=6,15,"")</f>
        <v/>
      </c>
      <c r="S5" s="35">
        <f>IF(MONTH(DATE('Paramètres'!$B$5,6,16))=6,16,"")</f>
        <v/>
      </c>
      <c r="T5" s="35">
        <f>IF(MONTH(DATE('Paramètres'!$B$5,6,17))=6,17,"")</f>
        <v/>
      </c>
      <c r="U5" s="35">
        <f>IF(MONTH(DATE('Paramètres'!$B$5,6,18))=6,18,"")</f>
        <v/>
      </c>
      <c r="V5" s="35">
        <f>IF(MONTH(DATE('Paramètres'!$B$5,6,19))=6,19,"")</f>
        <v/>
      </c>
      <c r="W5" s="35">
        <f>IF(MONTH(DATE('Paramètres'!$B$5,6,20))=6,20,"")</f>
        <v/>
      </c>
      <c r="X5" s="35">
        <f>IF(MONTH(DATE('Paramètres'!$B$5,6,21))=6,21,"")</f>
        <v/>
      </c>
      <c r="Y5" s="35">
        <f>IF(MONTH(DATE('Paramètres'!$B$5,6,22))=6,22,"")</f>
        <v/>
      </c>
      <c r="Z5" s="35">
        <f>IF(MONTH(DATE('Paramètres'!$B$5,6,23))=6,23,"")</f>
        <v/>
      </c>
      <c r="AA5" s="35">
        <f>IF(MONTH(DATE('Paramètres'!$B$5,6,24))=6,24,"")</f>
        <v/>
      </c>
      <c r="AB5" s="35">
        <f>IF(MONTH(DATE('Paramètres'!$B$5,6,25))=6,25,"")</f>
        <v/>
      </c>
      <c r="AC5" s="35">
        <f>IF(MONTH(DATE('Paramètres'!$B$5,6,26))=6,26,"")</f>
        <v/>
      </c>
      <c r="AD5" s="35">
        <f>IF(MONTH(DATE('Paramètres'!$B$5,6,27))=6,27,"")</f>
        <v/>
      </c>
      <c r="AE5" s="35">
        <f>IF(MONTH(DATE('Paramètres'!$B$5,6,28))=6,28,"")</f>
        <v/>
      </c>
      <c r="AF5" s="35">
        <f>IF(MONTH(DATE('Paramètres'!$B$5,6,29))=6,29,"")</f>
        <v/>
      </c>
      <c r="AG5" s="35">
        <f>IF(MONTH(DATE('Paramètres'!$B$5,6,30))=6,30,"")</f>
        <v/>
      </c>
      <c r="AH5" s="35">
        <f>IF(MONTH(DATE('Paramètres'!$B$5,6,31))=6,31,"")</f>
        <v/>
      </c>
      <c r="AI5" s="36" t="inlineStr">
        <is>
          <t>Présent</t>
        </is>
      </c>
      <c r="AJ5" s="36" t="inlineStr">
        <is>
          <t>Retard</t>
        </is>
      </c>
      <c r="AK5" s="36" t="inlineStr">
        <is>
          <t>Absent</t>
        </is>
      </c>
      <c r="AL5" s="36" t="inlineStr">
        <is>
          <t>Congé</t>
        </is>
      </c>
      <c r="AM5" s="36" t="inlineStr">
        <is>
          <t>Malade</t>
        </is>
      </c>
      <c r="AN5" s="36" t="inlineStr">
        <is>
          <t>Taux de présence</t>
        </is>
      </c>
      <c r="AO5" s="36" t="inlineStr">
        <is>
          <t>Salaire dû</t>
        </is>
      </c>
    </row>
    <row r="6" ht="22" customHeight="1">
      <c r="A6" s="35" t="n"/>
      <c r="B6" s="35" t="n"/>
      <c r="C6" s="35" t="n"/>
      <c r="D6" s="35">
        <f>IF(D5="","",CHOOSE(WEEKDAY(DATE('Paramètres'!$B$5,6,1),2),"Lun","Mar","Mer","Jeu","Ven","Sam","Dim"))</f>
        <v/>
      </c>
      <c r="E6" s="35">
        <f>IF(E5="","",CHOOSE(WEEKDAY(DATE('Paramètres'!$B$5,6,2),2),"Lun","Mar","Mer","Jeu","Ven","Sam","Dim"))</f>
        <v/>
      </c>
      <c r="F6" s="35">
        <f>IF(F5="","",CHOOSE(WEEKDAY(DATE('Paramètres'!$B$5,6,3),2),"Lun","Mar","Mer","Jeu","Ven","Sam","Dim"))</f>
        <v/>
      </c>
      <c r="G6" s="35">
        <f>IF(G5="","",CHOOSE(WEEKDAY(DATE('Paramètres'!$B$5,6,4),2),"Lun","Mar","Mer","Jeu","Ven","Sam","Dim"))</f>
        <v/>
      </c>
      <c r="H6" s="35">
        <f>IF(H5="","",CHOOSE(WEEKDAY(DATE('Paramètres'!$B$5,6,5),2),"Lun","Mar","Mer","Jeu","Ven","Sam","Dim"))</f>
        <v/>
      </c>
      <c r="I6" s="35">
        <f>IF(I5="","",CHOOSE(WEEKDAY(DATE('Paramètres'!$B$5,6,6),2),"Lun","Mar","Mer","Jeu","Ven","Sam","Dim"))</f>
        <v/>
      </c>
      <c r="J6" s="35">
        <f>IF(J5="","",CHOOSE(WEEKDAY(DATE('Paramètres'!$B$5,6,7),2),"Lun","Mar","Mer","Jeu","Ven","Sam","Dim"))</f>
        <v/>
      </c>
      <c r="K6" s="35">
        <f>IF(K5="","",CHOOSE(WEEKDAY(DATE('Paramètres'!$B$5,6,8),2),"Lun","Mar","Mer","Jeu","Ven","Sam","Dim"))</f>
        <v/>
      </c>
      <c r="L6" s="35">
        <f>IF(L5="","",CHOOSE(WEEKDAY(DATE('Paramètres'!$B$5,6,9),2),"Lun","Mar","Mer","Jeu","Ven","Sam","Dim"))</f>
        <v/>
      </c>
      <c r="M6" s="35">
        <f>IF(M5="","",CHOOSE(WEEKDAY(DATE('Paramètres'!$B$5,6,10),2),"Lun","Mar","Mer","Jeu","Ven","Sam","Dim"))</f>
        <v/>
      </c>
      <c r="N6" s="35">
        <f>IF(N5="","",CHOOSE(WEEKDAY(DATE('Paramètres'!$B$5,6,11),2),"Lun","Mar","Mer","Jeu","Ven","Sam","Dim"))</f>
        <v/>
      </c>
      <c r="O6" s="35">
        <f>IF(O5="","",CHOOSE(WEEKDAY(DATE('Paramètres'!$B$5,6,12),2),"Lun","Mar","Mer","Jeu","Ven","Sam","Dim"))</f>
        <v/>
      </c>
      <c r="P6" s="35">
        <f>IF(P5="","",CHOOSE(WEEKDAY(DATE('Paramètres'!$B$5,6,13),2),"Lun","Mar","Mer","Jeu","Ven","Sam","Dim"))</f>
        <v/>
      </c>
      <c r="Q6" s="35">
        <f>IF(Q5="","",CHOOSE(WEEKDAY(DATE('Paramètres'!$B$5,6,14),2),"Lun","Mar","Mer","Jeu","Ven","Sam","Dim"))</f>
        <v/>
      </c>
      <c r="R6" s="35">
        <f>IF(R5="","",CHOOSE(WEEKDAY(DATE('Paramètres'!$B$5,6,15),2),"Lun","Mar","Mer","Jeu","Ven","Sam","Dim"))</f>
        <v/>
      </c>
      <c r="S6" s="35">
        <f>IF(S5="","",CHOOSE(WEEKDAY(DATE('Paramètres'!$B$5,6,16),2),"Lun","Mar","Mer","Jeu","Ven","Sam","Dim"))</f>
        <v/>
      </c>
      <c r="T6" s="35">
        <f>IF(T5="","",CHOOSE(WEEKDAY(DATE('Paramètres'!$B$5,6,17),2),"Lun","Mar","Mer","Jeu","Ven","Sam","Dim"))</f>
        <v/>
      </c>
      <c r="U6" s="35">
        <f>IF(U5="","",CHOOSE(WEEKDAY(DATE('Paramètres'!$B$5,6,18),2),"Lun","Mar","Mer","Jeu","Ven","Sam","Dim"))</f>
        <v/>
      </c>
      <c r="V6" s="35">
        <f>IF(V5="","",CHOOSE(WEEKDAY(DATE('Paramètres'!$B$5,6,19),2),"Lun","Mar","Mer","Jeu","Ven","Sam","Dim"))</f>
        <v/>
      </c>
      <c r="W6" s="35">
        <f>IF(W5="","",CHOOSE(WEEKDAY(DATE('Paramètres'!$B$5,6,20),2),"Lun","Mar","Mer","Jeu","Ven","Sam","Dim"))</f>
        <v/>
      </c>
      <c r="X6" s="35">
        <f>IF(X5="","",CHOOSE(WEEKDAY(DATE('Paramètres'!$B$5,6,21),2),"Lun","Mar","Mer","Jeu","Ven","Sam","Dim"))</f>
        <v/>
      </c>
      <c r="Y6" s="35">
        <f>IF(Y5="","",CHOOSE(WEEKDAY(DATE('Paramètres'!$B$5,6,22),2),"Lun","Mar","Mer","Jeu","Ven","Sam","Dim"))</f>
        <v/>
      </c>
      <c r="Z6" s="35">
        <f>IF(Z5="","",CHOOSE(WEEKDAY(DATE('Paramètres'!$B$5,6,23),2),"Lun","Mar","Mer","Jeu","Ven","Sam","Dim"))</f>
        <v/>
      </c>
      <c r="AA6" s="35">
        <f>IF(AA5="","",CHOOSE(WEEKDAY(DATE('Paramètres'!$B$5,6,24),2),"Lun","Mar","Mer","Jeu","Ven","Sam","Dim"))</f>
        <v/>
      </c>
      <c r="AB6" s="35">
        <f>IF(AB5="","",CHOOSE(WEEKDAY(DATE('Paramètres'!$B$5,6,25),2),"Lun","Mar","Mer","Jeu","Ven","Sam","Dim"))</f>
        <v/>
      </c>
      <c r="AC6" s="35">
        <f>IF(AC5="","",CHOOSE(WEEKDAY(DATE('Paramètres'!$B$5,6,26),2),"Lun","Mar","Mer","Jeu","Ven","Sam","Dim"))</f>
        <v/>
      </c>
      <c r="AD6" s="35">
        <f>IF(AD5="","",CHOOSE(WEEKDAY(DATE('Paramètres'!$B$5,6,27),2),"Lun","Mar","Mer","Jeu","Ven","Sam","Dim"))</f>
        <v/>
      </c>
      <c r="AE6" s="35">
        <f>IF(AE5="","",CHOOSE(WEEKDAY(DATE('Paramètres'!$B$5,6,28),2),"Lun","Mar","Mer","Jeu","Ven","Sam","Dim"))</f>
        <v/>
      </c>
      <c r="AF6" s="35">
        <f>IF(AF5="","",CHOOSE(WEEKDAY(DATE('Paramètres'!$B$5,6,29),2),"Lun","Mar","Mer","Jeu","Ven","Sam","Dim"))</f>
        <v/>
      </c>
      <c r="AG6" s="35">
        <f>IF(AG5="","",CHOOSE(WEEKDAY(DATE('Paramètres'!$B$5,6,30),2),"Lun","Mar","Mer","Jeu","Ven","Sam","Dim"))</f>
        <v/>
      </c>
      <c r="AH6" s="35">
        <f>IF(AH5="","",CHOOSE(WEEKDAY(DATE('Paramètres'!$B$5,6,31),2),"Lun","Mar","Mer","Jeu","Ven","Sam","Dim"))</f>
        <v/>
      </c>
      <c r="AI6" s="36" t="n"/>
      <c r="AJ6" s="36" t="n"/>
      <c r="AK6" s="36" t="n"/>
      <c r="AL6" s="36" t="n"/>
      <c r="AM6" s="36" t="n"/>
      <c r="AN6" s="36" t="n"/>
      <c r="AO6" s="36" t="n"/>
    </row>
    <row r="7" ht="20" customHeight="1">
      <c r="A7" s="37">
        <f>IF('Employés'!B5="","",'Employés'!A5)</f>
        <v/>
      </c>
      <c r="B7" s="38">
        <f>IF('Employés'!B5="","",'Employés'!B5)</f>
        <v/>
      </c>
      <c r="C7" s="38">
        <f>IF('Employés'!C5="","",'Employés'!C5)</f>
        <v/>
      </c>
      <c r="D7" s="37" t="n"/>
      <c r="E7" s="37" t="n"/>
      <c r="F7" s="37" t="n"/>
      <c r="G7" s="37" t="n"/>
      <c r="H7" s="37" t="n"/>
      <c r="I7" s="37" t="n"/>
      <c r="J7" s="37" t="n"/>
      <c r="K7" s="37" t="n"/>
      <c r="L7" s="37" t="n"/>
      <c r="M7" s="37" t="n"/>
      <c r="N7" s="37" t="n"/>
      <c r="O7" s="37" t="n"/>
      <c r="P7" s="37" t="n"/>
      <c r="Q7" s="37" t="n"/>
      <c r="R7" s="37" t="n"/>
      <c r="S7" s="37" t="n"/>
      <c r="T7" s="37" t="n"/>
      <c r="U7" s="37" t="n"/>
      <c r="V7" s="37" t="n"/>
      <c r="W7" s="37" t="n"/>
      <c r="X7" s="37" t="n"/>
      <c r="Y7" s="37" t="n"/>
      <c r="Z7" s="37" t="n"/>
      <c r="AA7" s="37" t="n"/>
      <c r="AB7" s="37" t="n"/>
      <c r="AC7" s="37" t="n"/>
      <c r="AD7" s="37" t="n"/>
      <c r="AE7" s="37" t="n"/>
      <c r="AF7" s="37" t="n"/>
      <c r="AG7" s="37" t="n"/>
      <c r="AH7" s="37" t="n"/>
      <c r="AI7" s="39">
        <f>IF($B7="","",COUNTIF(D7:AH7,"P"))</f>
        <v/>
      </c>
      <c r="AJ7" s="39">
        <f>IF($B7="","",COUNTIF(D7:AH7,"R"))</f>
        <v/>
      </c>
      <c r="AK7" s="39">
        <f>IF($B7="","",COUNTIF(D7:AH7,"A"))</f>
        <v/>
      </c>
      <c r="AL7" s="39">
        <f>IF($B7="","",COUNTIF(D7:AH7,"C"))</f>
        <v/>
      </c>
      <c r="AM7" s="39">
        <f>IF($B7="","",COUNTIF(D7:AH7,"M"))</f>
        <v/>
      </c>
      <c r="AN7" s="40">
        <f>IF($B7="","",IF(AI7+AJ7+AK7+AM7=0,"",(AI7+AJ7)/(AI7+AJ7+AK7+AM7)))</f>
        <v/>
      </c>
      <c r="AO7" s="41">
        <f>IF($B7="","",IF('Employés'!D5="","",(AI7+AJ7+AL7)*'Employés'!D5))</f>
        <v/>
      </c>
    </row>
    <row r="8" ht="20" customHeight="1">
      <c r="A8" s="37">
        <f>IF('Employés'!B6="","",'Employés'!A6)</f>
        <v/>
      </c>
      <c r="B8" s="38">
        <f>IF('Employés'!B6="","",'Employés'!B6)</f>
        <v/>
      </c>
      <c r="C8" s="38">
        <f>IF('Employés'!C6="","",'Employés'!C6)</f>
        <v/>
      </c>
      <c r="D8" s="37" t="n"/>
      <c r="E8" s="37" t="n"/>
      <c r="F8" s="37" t="n"/>
      <c r="G8" s="37" t="n"/>
      <c r="H8" s="37" t="n"/>
      <c r="I8" s="37" t="n"/>
      <c r="J8" s="37" t="n"/>
      <c r="K8" s="37" t="n"/>
      <c r="L8" s="37" t="n"/>
      <c r="M8" s="37" t="n"/>
      <c r="N8" s="37" t="n"/>
      <c r="O8" s="37" t="n"/>
      <c r="P8" s="37" t="n"/>
      <c r="Q8" s="37" t="n"/>
      <c r="R8" s="37" t="n"/>
      <c r="S8" s="37" t="n"/>
      <c r="T8" s="37" t="n"/>
      <c r="U8" s="37" t="n"/>
      <c r="V8" s="37" t="n"/>
      <c r="W8" s="37" t="n"/>
      <c r="X8" s="37" t="n"/>
      <c r="Y8" s="37" t="n"/>
      <c r="Z8" s="37" t="n"/>
      <c r="AA8" s="37" t="n"/>
      <c r="AB8" s="37" t="n"/>
      <c r="AC8" s="37" t="n"/>
      <c r="AD8" s="37" t="n"/>
      <c r="AE8" s="37" t="n"/>
      <c r="AF8" s="37" t="n"/>
      <c r="AG8" s="37" t="n"/>
      <c r="AH8" s="37" t="n"/>
      <c r="AI8" s="39">
        <f>IF($B8="","",COUNTIF(D8:AH8,"P"))</f>
        <v/>
      </c>
      <c r="AJ8" s="39">
        <f>IF($B8="","",COUNTIF(D8:AH8,"R"))</f>
        <v/>
      </c>
      <c r="AK8" s="39">
        <f>IF($B8="","",COUNTIF(D8:AH8,"A"))</f>
        <v/>
      </c>
      <c r="AL8" s="39">
        <f>IF($B8="","",COUNTIF(D8:AH8,"C"))</f>
        <v/>
      </c>
      <c r="AM8" s="39">
        <f>IF($B8="","",COUNTIF(D8:AH8,"M"))</f>
        <v/>
      </c>
      <c r="AN8" s="40">
        <f>IF($B8="","",IF(AI8+AJ8+AK8+AM8=0,"",(AI8+AJ8)/(AI8+AJ8+AK8+AM8)))</f>
        <v/>
      </c>
      <c r="AO8" s="41">
        <f>IF($B8="","",IF('Employés'!D6="","",(AI8+AJ8+AL8)*'Employés'!D6))</f>
        <v/>
      </c>
    </row>
    <row r="9" ht="20" customHeight="1">
      <c r="A9" s="37">
        <f>IF('Employés'!B7="","",'Employés'!A7)</f>
        <v/>
      </c>
      <c r="B9" s="38">
        <f>IF('Employés'!B7="","",'Employés'!B7)</f>
        <v/>
      </c>
      <c r="C9" s="38">
        <f>IF('Employés'!C7="","",'Employés'!C7)</f>
        <v/>
      </c>
      <c r="D9" s="37" t="n"/>
      <c r="E9" s="37" t="n"/>
      <c r="F9" s="37" t="n"/>
      <c r="G9" s="37" t="n"/>
      <c r="H9" s="37" t="n"/>
      <c r="I9" s="37" t="n"/>
      <c r="J9" s="37" t="n"/>
      <c r="K9" s="37" t="n"/>
      <c r="L9" s="37" t="n"/>
      <c r="M9" s="37" t="n"/>
      <c r="N9" s="37" t="n"/>
      <c r="O9" s="37" t="n"/>
      <c r="P9" s="37" t="n"/>
      <c r="Q9" s="37" t="n"/>
      <c r="R9" s="37" t="n"/>
      <c r="S9" s="37" t="n"/>
      <c r="T9" s="37" t="n"/>
      <c r="U9" s="37" t="n"/>
      <c r="V9" s="37" t="n"/>
      <c r="W9" s="37" t="n"/>
      <c r="X9" s="37" t="n"/>
      <c r="Y9" s="37" t="n"/>
      <c r="Z9" s="37" t="n"/>
      <c r="AA9" s="37" t="n"/>
      <c r="AB9" s="37" t="n"/>
      <c r="AC9" s="37" t="n"/>
      <c r="AD9" s="37" t="n"/>
      <c r="AE9" s="37" t="n"/>
      <c r="AF9" s="37" t="n"/>
      <c r="AG9" s="37" t="n"/>
      <c r="AH9" s="37" t="n"/>
      <c r="AI9" s="39">
        <f>IF($B9="","",COUNTIF(D9:AH9,"P"))</f>
        <v/>
      </c>
      <c r="AJ9" s="39">
        <f>IF($B9="","",COUNTIF(D9:AH9,"R"))</f>
        <v/>
      </c>
      <c r="AK9" s="39">
        <f>IF($B9="","",COUNTIF(D9:AH9,"A"))</f>
        <v/>
      </c>
      <c r="AL9" s="39">
        <f>IF($B9="","",COUNTIF(D9:AH9,"C"))</f>
        <v/>
      </c>
      <c r="AM9" s="39">
        <f>IF($B9="","",COUNTIF(D9:AH9,"M"))</f>
        <v/>
      </c>
      <c r="AN9" s="40">
        <f>IF($B9="","",IF(AI9+AJ9+AK9+AM9=0,"",(AI9+AJ9)/(AI9+AJ9+AK9+AM9)))</f>
        <v/>
      </c>
      <c r="AO9" s="41">
        <f>IF($B9="","",IF('Employés'!D7="","",(AI9+AJ9+AL9)*'Employés'!D7))</f>
        <v/>
      </c>
    </row>
    <row r="10" ht="20" customHeight="1">
      <c r="A10" s="37">
        <f>IF('Employés'!B8="","",'Employés'!A8)</f>
        <v/>
      </c>
      <c r="B10" s="38">
        <f>IF('Employés'!B8="","",'Employés'!B8)</f>
        <v/>
      </c>
      <c r="C10" s="38">
        <f>IF('Employés'!C8="","",'Employés'!C8)</f>
        <v/>
      </c>
      <c r="D10" s="37" t="n"/>
      <c r="E10" s="37" t="n"/>
      <c r="F10" s="37" t="n"/>
      <c r="G10" s="37" t="n"/>
      <c r="H10" s="37" t="n"/>
      <c r="I10" s="37" t="n"/>
      <c r="J10" s="37" t="n"/>
      <c r="K10" s="37" t="n"/>
      <c r="L10" s="37" t="n"/>
      <c r="M10" s="37" t="n"/>
      <c r="N10" s="37" t="n"/>
      <c r="O10" s="37" t="n"/>
      <c r="P10" s="37" t="n"/>
      <c r="Q10" s="37" t="n"/>
      <c r="R10" s="37" t="n"/>
      <c r="S10" s="37" t="n"/>
      <c r="T10" s="37" t="n"/>
      <c r="U10" s="37" t="n"/>
      <c r="V10" s="37" t="n"/>
      <c r="W10" s="37" t="n"/>
      <c r="X10" s="37" t="n"/>
      <c r="Y10" s="37" t="n"/>
      <c r="Z10" s="37" t="n"/>
      <c r="AA10" s="37" t="n"/>
      <c r="AB10" s="37" t="n"/>
      <c r="AC10" s="37" t="n"/>
      <c r="AD10" s="37" t="n"/>
      <c r="AE10" s="37" t="n"/>
      <c r="AF10" s="37" t="n"/>
      <c r="AG10" s="37" t="n"/>
      <c r="AH10" s="37" t="n"/>
      <c r="AI10" s="39">
        <f>IF($B10="","",COUNTIF(D10:AH10,"P"))</f>
        <v/>
      </c>
      <c r="AJ10" s="39">
        <f>IF($B10="","",COUNTIF(D10:AH10,"R"))</f>
        <v/>
      </c>
      <c r="AK10" s="39">
        <f>IF($B10="","",COUNTIF(D10:AH10,"A"))</f>
        <v/>
      </c>
      <c r="AL10" s="39">
        <f>IF($B10="","",COUNTIF(D10:AH10,"C"))</f>
        <v/>
      </c>
      <c r="AM10" s="39">
        <f>IF($B10="","",COUNTIF(D10:AH10,"M"))</f>
        <v/>
      </c>
      <c r="AN10" s="40">
        <f>IF($B10="","",IF(AI10+AJ10+AK10+AM10=0,"",(AI10+AJ10)/(AI10+AJ10+AK10+AM10)))</f>
        <v/>
      </c>
      <c r="AO10" s="41">
        <f>IF($B10="","",IF('Employés'!D8="","",(AI10+AJ10+AL10)*'Employés'!D8))</f>
        <v/>
      </c>
    </row>
    <row r="11" ht="20" customHeight="1">
      <c r="A11" s="37">
        <f>IF('Employés'!B9="","",'Employés'!A9)</f>
        <v/>
      </c>
      <c r="B11" s="38">
        <f>IF('Employés'!B9="","",'Employés'!B9)</f>
        <v/>
      </c>
      <c r="C11" s="38">
        <f>IF('Employés'!C9="","",'Employés'!C9)</f>
        <v/>
      </c>
      <c r="D11" s="37" t="n"/>
      <c r="E11" s="37" t="n"/>
      <c r="F11" s="37" t="n"/>
      <c r="G11" s="37" t="n"/>
      <c r="H11" s="37" t="n"/>
      <c r="I11" s="37" t="n"/>
      <c r="J11" s="37" t="n"/>
      <c r="K11" s="37" t="n"/>
      <c r="L11" s="37" t="n"/>
      <c r="M11" s="37" t="n"/>
      <c r="N11" s="37" t="n"/>
      <c r="O11" s="37" t="n"/>
      <c r="P11" s="37" t="n"/>
      <c r="Q11" s="37" t="n"/>
      <c r="R11" s="37" t="n"/>
      <c r="S11" s="37" t="n"/>
      <c r="T11" s="37" t="n"/>
      <c r="U11" s="37" t="n"/>
      <c r="V11" s="37" t="n"/>
      <c r="W11" s="37" t="n"/>
      <c r="X11" s="37" t="n"/>
      <c r="Y11" s="37" t="n"/>
      <c r="Z11" s="37" t="n"/>
      <c r="AA11" s="37" t="n"/>
      <c r="AB11" s="37" t="n"/>
      <c r="AC11" s="37" t="n"/>
      <c r="AD11" s="37" t="n"/>
      <c r="AE11" s="37" t="n"/>
      <c r="AF11" s="37" t="n"/>
      <c r="AG11" s="37" t="n"/>
      <c r="AH11" s="37" t="n"/>
      <c r="AI11" s="39">
        <f>IF($B11="","",COUNTIF(D11:AH11,"P"))</f>
        <v/>
      </c>
      <c r="AJ11" s="39">
        <f>IF($B11="","",COUNTIF(D11:AH11,"R"))</f>
        <v/>
      </c>
      <c r="AK11" s="39">
        <f>IF($B11="","",COUNTIF(D11:AH11,"A"))</f>
        <v/>
      </c>
      <c r="AL11" s="39">
        <f>IF($B11="","",COUNTIF(D11:AH11,"C"))</f>
        <v/>
      </c>
      <c r="AM11" s="39">
        <f>IF($B11="","",COUNTIF(D11:AH11,"M"))</f>
        <v/>
      </c>
      <c r="AN11" s="40">
        <f>IF($B11="","",IF(AI11+AJ11+AK11+AM11=0,"",(AI11+AJ11)/(AI11+AJ11+AK11+AM11)))</f>
        <v/>
      </c>
      <c r="AO11" s="41">
        <f>IF($B11="","",IF('Employés'!D9="","",(AI11+AJ11+AL11)*'Employés'!D9))</f>
        <v/>
      </c>
    </row>
    <row r="12" ht="20" customHeight="1">
      <c r="A12" s="37">
        <f>IF('Employés'!B10="","",'Employés'!A10)</f>
        <v/>
      </c>
      <c r="B12" s="38">
        <f>IF('Employés'!B10="","",'Employés'!B10)</f>
        <v/>
      </c>
      <c r="C12" s="38">
        <f>IF('Employés'!C10="","",'Employés'!C10)</f>
        <v/>
      </c>
      <c r="D12" s="37" t="n"/>
      <c r="E12" s="37" t="n"/>
      <c r="F12" s="37" t="n"/>
      <c r="G12" s="37" t="n"/>
      <c r="H12" s="37" t="n"/>
      <c r="I12" s="37" t="n"/>
      <c r="J12" s="37" t="n"/>
      <c r="K12" s="37" t="n"/>
      <c r="L12" s="37" t="n"/>
      <c r="M12" s="37" t="n"/>
      <c r="N12" s="37" t="n"/>
      <c r="O12" s="37" t="n"/>
      <c r="P12" s="37" t="n"/>
      <c r="Q12" s="37" t="n"/>
      <c r="R12" s="37" t="n"/>
      <c r="S12" s="37" t="n"/>
      <c r="T12" s="37" t="n"/>
      <c r="U12" s="37" t="n"/>
      <c r="V12" s="37" t="n"/>
      <c r="W12" s="37" t="n"/>
      <c r="X12" s="37" t="n"/>
      <c r="Y12" s="37" t="n"/>
      <c r="Z12" s="37" t="n"/>
      <c r="AA12" s="37" t="n"/>
      <c r="AB12" s="37" t="n"/>
      <c r="AC12" s="37" t="n"/>
      <c r="AD12" s="37" t="n"/>
      <c r="AE12" s="37" t="n"/>
      <c r="AF12" s="37" t="n"/>
      <c r="AG12" s="37" t="n"/>
      <c r="AH12" s="37" t="n"/>
      <c r="AI12" s="39">
        <f>IF($B12="","",COUNTIF(D12:AH12,"P"))</f>
        <v/>
      </c>
      <c r="AJ12" s="39">
        <f>IF($B12="","",COUNTIF(D12:AH12,"R"))</f>
        <v/>
      </c>
      <c r="AK12" s="39">
        <f>IF($B12="","",COUNTIF(D12:AH12,"A"))</f>
        <v/>
      </c>
      <c r="AL12" s="39">
        <f>IF($B12="","",COUNTIF(D12:AH12,"C"))</f>
        <v/>
      </c>
      <c r="AM12" s="39">
        <f>IF($B12="","",COUNTIF(D12:AH12,"M"))</f>
        <v/>
      </c>
      <c r="AN12" s="40">
        <f>IF($B12="","",IF(AI12+AJ12+AK12+AM12=0,"",(AI12+AJ12)/(AI12+AJ12+AK12+AM12)))</f>
        <v/>
      </c>
      <c r="AO12" s="41">
        <f>IF($B12="","",IF('Employés'!D10="","",(AI12+AJ12+AL12)*'Employés'!D10))</f>
        <v/>
      </c>
    </row>
    <row r="13" ht="20" customHeight="1">
      <c r="A13" s="37">
        <f>IF('Employés'!B11="","",'Employés'!A11)</f>
        <v/>
      </c>
      <c r="B13" s="38">
        <f>IF('Employés'!B11="","",'Employés'!B11)</f>
        <v/>
      </c>
      <c r="C13" s="38">
        <f>IF('Employés'!C11="","",'Employés'!C11)</f>
        <v/>
      </c>
      <c r="D13" s="37" t="n"/>
      <c r="E13" s="37" t="n"/>
      <c r="F13" s="37" t="n"/>
      <c r="G13" s="37" t="n"/>
      <c r="H13" s="37" t="n"/>
      <c r="I13" s="37" t="n"/>
      <c r="J13" s="37" t="n"/>
      <c r="K13" s="37" t="n"/>
      <c r="L13" s="37" t="n"/>
      <c r="M13" s="37" t="n"/>
      <c r="N13" s="37" t="n"/>
      <c r="O13" s="37" t="n"/>
      <c r="P13" s="37" t="n"/>
      <c r="Q13" s="37" t="n"/>
      <c r="R13" s="37" t="n"/>
      <c r="S13" s="37" t="n"/>
      <c r="T13" s="37" t="n"/>
      <c r="U13" s="37" t="n"/>
      <c r="V13" s="37" t="n"/>
      <c r="W13" s="37" t="n"/>
      <c r="X13" s="37" t="n"/>
      <c r="Y13" s="37" t="n"/>
      <c r="Z13" s="37" t="n"/>
      <c r="AA13" s="37" t="n"/>
      <c r="AB13" s="37" t="n"/>
      <c r="AC13" s="37" t="n"/>
      <c r="AD13" s="37" t="n"/>
      <c r="AE13" s="37" t="n"/>
      <c r="AF13" s="37" t="n"/>
      <c r="AG13" s="37" t="n"/>
      <c r="AH13" s="37" t="n"/>
      <c r="AI13" s="39">
        <f>IF($B13="","",COUNTIF(D13:AH13,"P"))</f>
        <v/>
      </c>
      <c r="AJ13" s="39">
        <f>IF($B13="","",COUNTIF(D13:AH13,"R"))</f>
        <v/>
      </c>
      <c r="AK13" s="39">
        <f>IF($B13="","",COUNTIF(D13:AH13,"A"))</f>
        <v/>
      </c>
      <c r="AL13" s="39">
        <f>IF($B13="","",COUNTIF(D13:AH13,"C"))</f>
        <v/>
      </c>
      <c r="AM13" s="39">
        <f>IF($B13="","",COUNTIF(D13:AH13,"M"))</f>
        <v/>
      </c>
      <c r="AN13" s="40">
        <f>IF($B13="","",IF(AI13+AJ13+AK13+AM13=0,"",(AI13+AJ13)/(AI13+AJ13+AK13+AM13)))</f>
        <v/>
      </c>
      <c r="AO13" s="41">
        <f>IF($B13="","",IF('Employés'!D11="","",(AI13+AJ13+AL13)*'Employés'!D11))</f>
        <v/>
      </c>
    </row>
    <row r="14" ht="20" customHeight="1">
      <c r="A14" s="37">
        <f>IF('Employés'!B12="","",'Employés'!A12)</f>
        <v/>
      </c>
      <c r="B14" s="38">
        <f>IF('Employés'!B12="","",'Employés'!B12)</f>
        <v/>
      </c>
      <c r="C14" s="38">
        <f>IF('Employés'!C12="","",'Employés'!C12)</f>
        <v/>
      </c>
      <c r="D14" s="37" t="n"/>
      <c r="E14" s="37" t="n"/>
      <c r="F14" s="37" t="n"/>
      <c r="G14" s="37" t="n"/>
      <c r="H14" s="37" t="n"/>
      <c r="I14" s="37" t="n"/>
      <c r="J14" s="37" t="n"/>
      <c r="K14" s="37" t="n"/>
      <c r="L14" s="37" t="n"/>
      <c r="M14" s="37" t="n"/>
      <c r="N14" s="37" t="n"/>
      <c r="O14" s="37" t="n"/>
      <c r="P14" s="37" t="n"/>
      <c r="Q14" s="37" t="n"/>
      <c r="R14" s="37" t="n"/>
      <c r="S14" s="37" t="n"/>
      <c r="T14" s="37" t="n"/>
      <c r="U14" s="37" t="n"/>
      <c r="V14" s="37" t="n"/>
      <c r="W14" s="37" t="n"/>
      <c r="X14" s="37" t="n"/>
      <c r="Y14" s="37" t="n"/>
      <c r="Z14" s="37" t="n"/>
      <c r="AA14" s="37" t="n"/>
      <c r="AB14" s="37" t="n"/>
      <c r="AC14" s="37" t="n"/>
      <c r="AD14" s="37" t="n"/>
      <c r="AE14" s="37" t="n"/>
      <c r="AF14" s="37" t="n"/>
      <c r="AG14" s="37" t="n"/>
      <c r="AH14" s="37" t="n"/>
      <c r="AI14" s="39">
        <f>IF($B14="","",COUNTIF(D14:AH14,"P"))</f>
        <v/>
      </c>
      <c r="AJ14" s="39">
        <f>IF($B14="","",COUNTIF(D14:AH14,"R"))</f>
        <v/>
      </c>
      <c r="AK14" s="39">
        <f>IF($B14="","",COUNTIF(D14:AH14,"A"))</f>
        <v/>
      </c>
      <c r="AL14" s="39">
        <f>IF($B14="","",COUNTIF(D14:AH14,"C"))</f>
        <v/>
      </c>
      <c r="AM14" s="39">
        <f>IF($B14="","",COUNTIF(D14:AH14,"M"))</f>
        <v/>
      </c>
      <c r="AN14" s="40">
        <f>IF($B14="","",IF(AI14+AJ14+AK14+AM14=0,"",(AI14+AJ14)/(AI14+AJ14+AK14+AM14)))</f>
        <v/>
      </c>
      <c r="AO14" s="41">
        <f>IF($B14="","",IF('Employés'!D12="","",(AI14+AJ14+AL14)*'Employés'!D12))</f>
        <v/>
      </c>
    </row>
    <row r="15" ht="20" customHeight="1">
      <c r="A15" s="37">
        <f>IF('Employés'!B13="","",'Employés'!A13)</f>
        <v/>
      </c>
      <c r="B15" s="38">
        <f>IF('Employés'!B13="","",'Employés'!B13)</f>
        <v/>
      </c>
      <c r="C15" s="38">
        <f>IF('Employés'!C13="","",'Employés'!C13)</f>
        <v/>
      </c>
      <c r="D15" s="37" t="n"/>
      <c r="E15" s="37" t="n"/>
      <c r="F15" s="37" t="n"/>
      <c r="G15" s="37" t="n"/>
      <c r="H15" s="37" t="n"/>
      <c r="I15" s="37" t="n"/>
      <c r="J15" s="37" t="n"/>
      <c r="K15" s="37" t="n"/>
      <c r="L15" s="37" t="n"/>
      <c r="M15" s="37" t="n"/>
      <c r="N15" s="37" t="n"/>
      <c r="O15" s="37" t="n"/>
      <c r="P15" s="37" t="n"/>
      <c r="Q15" s="37" t="n"/>
      <c r="R15" s="37" t="n"/>
      <c r="S15" s="37" t="n"/>
      <c r="T15" s="37" t="n"/>
      <c r="U15" s="37" t="n"/>
      <c r="V15" s="37" t="n"/>
      <c r="W15" s="37" t="n"/>
      <c r="X15" s="37" t="n"/>
      <c r="Y15" s="37" t="n"/>
      <c r="Z15" s="37" t="n"/>
      <c r="AA15" s="37" t="n"/>
      <c r="AB15" s="37" t="n"/>
      <c r="AC15" s="37" t="n"/>
      <c r="AD15" s="37" t="n"/>
      <c r="AE15" s="37" t="n"/>
      <c r="AF15" s="37" t="n"/>
      <c r="AG15" s="37" t="n"/>
      <c r="AH15" s="37" t="n"/>
      <c r="AI15" s="39">
        <f>IF($B15="","",COUNTIF(D15:AH15,"P"))</f>
        <v/>
      </c>
      <c r="AJ15" s="39">
        <f>IF($B15="","",COUNTIF(D15:AH15,"R"))</f>
        <v/>
      </c>
      <c r="AK15" s="39">
        <f>IF($B15="","",COUNTIF(D15:AH15,"A"))</f>
        <v/>
      </c>
      <c r="AL15" s="39">
        <f>IF($B15="","",COUNTIF(D15:AH15,"C"))</f>
        <v/>
      </c>
      <c r="AM15" s="39">
        <f>IF($B15="","",COUNTIF(D15:AH15,"M"))</f>
        <v/>
      </c>
      <c r="AN15" s="40">
        <f>IF($B15="","",IF(AI15+AJ15+AK15+AM15=0,"",(AI15+AJ15)/(AI15+AJ15+AK15+AM15)))</f>
        <v/>
      </c>
      <c r="AO15" s="41">
        <f>IF($B15="","",IF('Employés'!D13="","",(AI15+AJ15+AL15)*'Employés'!D13))</f>
        <v/>
      </c>
    </row>
    <row r="16" ht="20" customHeight="1">
      <c r="A16" s="37">
        <f>IF('Employés'!B14="","",'Employés'!A14)</f>
        <v/>
      </c>
      <c r="B16" s="38">
        <f>IF('Employés'!B14="","",'Employés'!B14)</f>
        <v/>
      </c>
      <c r="C16" s="38">
        <f>IF('Employés'!C14="","",'Employés'!C14)</f>
        <v/>
      </c>
      <c r="D16" s="37" t="n"/>
      <c r="E16" s="37" t="n"/>
      <c r="F16" s="37" t="n"/>
      <c r="G16" s="37" t="n"/>
      <c r="H16" s="37" t="n"/>
      <c r="I16" s="37" t="n"/>
      <c r="J16" s="37" t="n"/>
      <c r="K16" s="37" t="n"/>
      <c r="L16" s="37" t="n"/>
      <c r="M16" s="37" t="n"/>
      <c r="N16" s="37" t="n"/>
      <c r="O16" s="37" t="n"/>
      <c r="P16" s="37" t="n"/>
      <c r="Q16" s="37" t="n"/>
      <c r="R16" s="37" t="n"/>
      <c r="S16" s="37" t="n"/>
      <c r="T16" s="37" t="n"/>
      <c r="U16" s="37" t="n"/>
      <c r="V16" s="37" t="n"/>
      <c r="W16" s="37" t="n"/>
      <c r="X16" s="37" t="n"/>
      <c r="Y16" s="37" t="n"/>
      <c r="Z16" s="37" t="n"/>
      <c r="AA16" s="37" t="n"/>
      <c r="AB16" s="37" t="n"/>
      <c r="AC16" s="37" t="n"/>
      <c r="AD16" s="37" t="n"/>
      <c r="AE16" s="37" t="n"/>
      <c r="AF16" s="37" t="n"/>
      <c r="AG16" s="37" t="n"/>
      <c r="AH16" s="37" t="n"/>
      <c r="AI16" s="39">
        <f>IF($B16="","",COUNTIF(D16:AH16,"P"))</f>
        <v/>
      </c>
      <c r="AJ16" s="39">
        <f>IF($B16="","",COUNTIF(D16:AH16,"R"))</f>
        <v/>
      </c>
      <c r="AK16" s="39">
        <f>IF($B16="","",COUNTIF(D16:AH16,"A"))</f>
        <v/>
      </c>
      <c r="AL16" s="39">
        <f>IF($B16="","",COUNTIF(D16:AH16,"C"))</f>
        <v/>
      </c>
      <c r="AM16" s="39">
        <f>IF($B16="","",COUNTIF(D16:AH16,"M"))</f>
        <v/>
      </c>
      <c r="AN16" s="40">
        <f>IF($B16="","",IF(AI16+AJ16+AK16+AM16=0,"",(AI16+AJ16)/(AI16+AJ16+AK16+AM16)))</f>
        <v/>
      </c>
      <c r="AO16" s="41">
        <f>IF($B16="","",IF('Employés'!D14="","",(AI16+AJ16+AL16)*'Employés'!D14))</f>
        <v/>
      </c>
    </row>
    <row r="17" ht="20" customHeight="1">
      <c r="A17" s="37">
        <f>IF('Employés'!B15="","",'Employés'!A15)</f>
        <v/>
      </c>
      <c r="B17" s="38">
        <f>IF('Employés'!B15="","",'Employés'!B15)</f>
        <v/>
      </c>
      <c r="C17" s="38">
        <f>IF('Employés'!C15="","",'Employés'!C15)</f>
        <v/>
      </c>
      <c r="D17" s="37" t="n"/>
      <c r="E17" s="37" t="n"/>
      <c r="F17" s="37" t="n"/>
      <c r="G17" s="37" t="n"/>
      <c r="H17" s="37" t="n"/>
      <c r="I17" s="37" t="n"/>
      <c r="J17" s="37" t="n"/>
      <c r="K17" s="37" t="n"/>
      <c r="L17" s="37" t="n"/>
      <c r="M17" s="37" t="n"/>
      <c r="N17" s="37" t="n"/>
      <c r="O17" s="37" t="n"/>
      <c r="P17" s="37" t="n"/>
      <c r="Q17" s="37" t="n"/>
      <c r="R17" s="37" t="n"/>
      <c r="S17" s="37" t="n"/>
      <c r="T17" s="37" t="n"/>
      <c r="U17" s="37" t="n"/>
      <c r="V17" s="37" t="n"/>
      <c r="W17" s="37" t="n"/>
      <c r="X17" s="37" t="n"/>
      <c r="Y17" s="37" t="n"/>
      <c r="Z17" s="37" t="n"/>
      <c r="AA17" s="37" t="n"/>
      <c r="AB17" s="37" t="n"/>
      <c r="AC17" s="37" t="n"/>
      <c r="AD17" s="37" t="n"/>
      <c r="AE17" s="37" t="n"/>
      <c r="AF17" s="37" t="n"/>
      <c r="AG17" s="37" t="n"/>
      <c r="AH17" s="37" t="n"/>
      <c r="AI17" s="39">
        <f>IF($B17="","",COUNTIF(D17:AH17,"P"))</f>
        <v/>
      </c>
      <c r="AJ17" s="39">
        <f>IF($B17="","",COUNTIF(D17:AH17,"R"))</f>
        <v/>
      </c>
      <c r="AK17" s="39">
        <f>IF($B17="","",COUNTIF(D17:AH17,"A"))</f>
        <v/>
      </c>
      <c r="AL17" s="39">
        <f>IF($B17="","",COUNTIF(D17:AH17,"C"))</f>
        <v/>
      </c>
      <c r="AM17" s="39">
        <f>IF($B17="","",COUNTIF(D17:AH17,"M"))</f>
        <v/>
      </c>
      <c r="AN17" s="40">
        <f>IF($B17="","",IF(AI17+AJ17+AK17+AM17=0,"",(AI17+AJ17)/(AI17+AJ17+AK17+AM17)))</f>
        <v/>
      </c>
      <c r="AO17" s="41">
        <f>IF($B17="","",IF('Employés'!D15="","",(AI17+AJ17+AL17)*'Employés'!D15))</f>
        <v/>
      </c>
    </row>
    <row r="18" ht="20" customHeight="1">
      <c r="A18" s="37">
        <f>IF('Employés'!B16="","",'Employés'!A16)</f>
        <v/>
      </c>
      <c r="B18" s="38">
        <f>IF('Employés'!B16="","",'Employés'!B16)</f>
        <v/>
      </c>
      <c r="C18" s="38">
        <f>IF('Employés'!C16="","",'Employés'!C16)</f>
        <v/>
      </c>
      <c r="D18" s="37" t="n"/>
      <c r="E18" s="37" t="n"/>
      <c r="F18" s="37" t="n"/>
      <c r="G18" s="37" t="n"/>
      <c r="H18" s="37" t="n"/>
      <c r="I18" s="37" t="n"/>
      <c r="J18" s="37" t="n"/>
      <c r="K18" s="37" t="n"/>
      <c r="L18" s="37" t="n"/>
      <c r="M18" s="37" t="n"/>
      <c r="N18" s="37" t="n"/>
      <c r="O18" s="37" t="n"/>
      <c r="P18" s="37" t="n"/>
      <c r="Q18" s="37" t="n"/>
      <c r="R18" s="37" t="n"/>
      <c r="S18" s="37" t="n"/>
      <c r="T18" s="37" t="n"/>
      <c r="U18" s="37" t="n"/>
      <c r="V18" s="37" t="n"/>
      <c r="W18" s="37" t="n"/>
      <c r="X18" s="37" t="n"/>
      <c r="Y18" s="37" t="n"/>
      <c r="Z18" s="37" t="n"/>
      <c r="AA18" s="37" t="n"/>
      <c r="AB18" s="37" t="n"/>
      <c r="AC18" s="37" t="n"/>
      <c r="AD18" s="37" t="n"/>
      <c r="AE18" s="37" t="n"/>
      <c r="AF18" s="37" t="n"/>
      <c r="AG18" s="37" t="n"/>
      <c r="AH18" s="37" t="n"/>
      <c r="AI18" s="39">
        <f>IF($B18="","",COUNTIF(D18:AH18,"P"))</f>
        <v/>
      </c>
      <c r="AJ18" s="39">
        <f>IF($B18="","",COUNTIF(D18:AH18,"R"))</f>
        <v/>
      </c>
      <c r="AK18" s="39">
        <f>IF($B18="","",COUNTIF(D18:AH18,"A"))</f>
        <v/>
      </c>
      <c r="AL18" s="39">
        <f>IF($B18="","",COUNTIF(D18:AH18,"C"))</f>
        <v/>
      </c>
      <c r="AM18" s="39">
        <f>IF($B18="","",COUNTIF(D18:AH18,"M"))</f>
        <v/>
      </c>
      <c r="AN18" s="40">
        <f>IF($B18="","",IF(AI18+AJ18+AK18+AM18=0,"",(AI18+AJ18)/(AI18+AJ18+AK18+AM18)))</f>
        <v/>
      </c>
      <c r="AO18" s="41">
        <f>IF($B18="","",IF('Employés'!D16="","",(AI18+AJ18+AL18)*'Employés'!D16))</f>
        <v/>
      </c>
    </row>
    <row r="19" ht="20" customHeight="1">
      <c r="A19" s="37">
        <f>IF('Employés'!B17="","",'Employés'!A17)</f>
        <v/>
      </c>
      <c r="B19" s="38">
        <f>IF('Employés'!B17="","",'Employés'!B17)</f>
        <v/>
      </c>
      <c r="C19" s="38">
        <f>IF('Employés'!C17="","",'Employés'!C17)</f>
        <v/>
      </c>
      <c r="D19" s="37" t="n"/>
      <c r="E19" s="37" t="n"/>
      <c r="F19" s="37" t="n"/>
      <c r="G19" s="37" t="n"/>
      <c r="H19" s="37" t="n"/>
      <c r="I19" s="37" t="n"/>
      <c r="J19" s="37" t="n"/>
      <c r="K19" s="37" t="n"/>
      <c r="L19" s="37" t="n"/>
      <c r="M19" s="37" t="n"/>
      <c r="N19" s="37" t="n"/>
      <c r="O19" s="37" t="n"/>
      <c r="P19" s="37" t="n"/>
      <c r="Q19" s="37" t="n"/>
      <c r="R19" s="37" t="n"/>
      <c r="S19" s="37" t="n"/>
      <c r="T19" s="37" t="n"/>
      <c r="U19" s="37" t="n"/>
      <c r="V19" s="37" t="n"/>
      <c r="W19" s="37" t="n"/>
      <c r="X19" s="37" t="n"/>
      <c r="Y19" s="37" t="n"/>
      <c r="Z19" s="37" t="n"/>
      <c r="AA19" s="37" t="n"/>
      <c r="AB19" s="37" t="n"/>
      <c r="AC19" s="37" t="n"/>
      <c r="AD19" s="37" t="n"/>
      <c r="AE19" s="37" t="n"/>
      <c r="AF19" s="37" t="n"/>
      <c r="AG19" s="37" t="n"/>
      <c r="AH19" s="37" t="n"/>
      <c r="AI19" s="39">
        <f>IF($B19="","",COUNTIF(D19:AH19,"P"))</f>
        <v/>
      </c>
      <c r="AJ19" s="39">
        <f>IF($B19="","",COUNTIF(D19:AH19,"R"))</f>
        <v/>
      </c>
      <c r="AK19" s="39">
        <f>IF($B19="","",COUNTIF(D19:AH19,"A"))</f>
        <v/>
      </c>
      <c r="AL19" s="39">
        <f>IF($B19="","",COUNTIF(D19:AH19,"C"))</f>
        <v/>
      </c>
      <c r="AM19" s="39">
        <f>IF($B19="","",COUNTIF(D19:AH19,"M"))</f>
        <v/>
      </c>
      <c r="AN19" s="40">
        <f>IF($B19="","",IF(AI19+AJ19+AK19+AM19=0,"",(AI19+AJ19)/(AI19+AJ19+AK19+AM19)))</f>
        <v/>
      </c>
      <c r="AO19" s="41">
        <f>IF($B19="","",IF('Employés'!D17="","",(AI19+AJ19+AL19)*'Employés'!D17))</f>
        <v/>
      </c>
    </row>
    <row r="20" ht="20" customHeight="1">
      <c r="A20" s="37">
        <f>IF('Employés'!B18="","",'Employés'!A18)</f>
        <v/>
      </c>
      <c r="B20" s="38">
        <f>IF('Employés'!B18="","",'Employés'!B18)</f>
        <v/>
      </c>
      <c r="C20" s="38">
        <f>IF('Employés'!C18="","",'Employés'!C18)</f>
        <v/>
      </c>
      <c r="D20" s="37" t="n"/>
      <c r="E20" s="37" t="n"/>
      <c r="F20" s="37" t="n"/>
      <c r="G20" s="37" t="n"/>
      <c r="H20" s="37" t="n"/>
      <c r="I20" s="37" t="n"/>
      <c r="J20" s="37" t="n"/>
      <c r="K20" s="37" t="n"/>
      <c r="L20" s="37" t="n"/>
      <c r="M20" s="37" t="n"/>
      <c r="N20" s="37" t="n"/>
      <c r="O20" s="37" t="n"/>
      <c r="P20" s="37" t="n"/>
      <c r="Q20" s="37" t="n"/>
      <c r="R20" s="37" t="n"/>
      <c r="S20" s="37" t="n"/>
      <c r="T20" s="37" t="n"/>
      <c r="U20" s="37" t="n"/>
      <c r="V20" s="37" t="n"/>
      <c r="W20" s="37" t="n"/>
      <c r="X20" s="37" t="n"/>
      <c r="Y20" s="37" t="n"/>
      <c r="Z20" s="37" t="n"/>
      <c r="AA20" s="37" t="n"/>
      <c r="AB20" s="37" t="n"/>
      <c r="AC20" s="37" t="n"/>
      <c r="AD20" s="37" t="n"/>
      <c r="AE20" s="37" t="n"/>
      <c r="AF20" s="37" t="n"/>
      <c r="AG20" s="37" t="n"/>
      <c r="AH20" s="37" t="n"/>
      <c r="AI20" s="39">
        <f>IF($B20="","",COUNTIF(D20:AH20,"P"))</f>
        <v/>
      </c>
      <c r="AJ20" s="39">
        <f>IF($B20="","",COUNTIF(D20:AH20,"R"))</f>
        <v/>
      </c>
      <c r="AK20" s="39">
        <f>IF($B20="","",COUNTIF(D20:AH20,"A"))</f>
        <v/>
      </c>
      <c r="AL20" s="39">
        <f>IF($B20="","",COUNTIF(D20:AH20,"C"))</f>
        <v/>
      </c>
      <c r="AM20" s="39">
        <f>IF($B20="","",COUNTIF(D20:AH20,"M"))</f>
        <v/>
      </c>
      <c r="AN20" s="40">
        <f>IF($B20="","",IF(AI20+AJ20+AK20+AM20=0,"",(AI20+AJ20)/(AI20+AJ20+AK20+AM20)))</f>
        <v/>
      </c>
      <c r="AO20" s="41">
        <f>IF($B20="","",IF('Employés'!D18="","",(AI20+AJ20+AL20)*'Employés'!D18))</f>
        <v/>
      </c>
    </row>
    <row r="21" ht="20" customHeight="1">
      <c r="A21" s="37">
        <f>IF('Employés'!B19="","",'Employés'!A19)</f>
        <v/>
      </c>
      <c r="B21" s="38">
        <f>IF('Employés'!B19="","",'Employés'!B19)</f>
        <v/>
      </c>
      <c r="C21" s="38">
        <f>IF('Employés'!C19="","",'Employés'!C19)</f>
        <v/>
      </c>
      <c r="D21" s="37" t="n"/>
      <c r="E21" s="37" t="n"/>
      <c r="F21" s="37" t="n"/>
      <c r="G21" s="37" t="n"/>
      <c r="H21" s="37" t="n"/>
      <c r="I21" s="37" t="n"/>
      <c r="J21" s="37" t="n"/>
      <c r="K21" s="37" t="n"/>
      <c r="L21" s="37" t="n"/>
      <c r="M21" s="37" t="n"/>
      <c r="N21" s="37" t="n"/>
      <c r="O21" s="37" t="n"/>
      <c r="P21" s="37" t="n"/>
      <c r="Q21" s="37" t="n"/>
      <c r="R21" s="37" t="n"/>
      <c r="S21" s="37" t="n"/>
      <c r="T21" s="37" t="n"/>
      <c r="U21" s="37" t="n"/>
      <c r="V21" s="37" t="n"/>
      <c r="W21" s="37" t="n"/>
      <c r="X21" s="37" t="n"/>
      <c r="Y21" s="37" t="n"/>
      <c r="Z21" s="37" t="n"/>
      <c r="AA21" s="37" t="n"/>
      <c r="AB21" s="37" t="n"/>
      <c r="AC21" s="37" t="n"/>
      <c r="AD21" s="37" t="n"/>
      <c r="AE21" s="37" t="n"/>
      <c r="AF21" s="37" t="n"/>
      <c r="AG21" s="37" t="n"/>
      <c r="AH21" s="37" t="n"/>
      <c r="AI21" s="39">
        <f>IF($B21="","",COUNTIF(D21:AH21,"P"))</f>
        <v/>
      </c>
      <c r="AJ21" s="39">
        <f>IF($B21="","",COUNTIF(D21:AH21,"R"))</f>
        <v/>
      </c>
      <c r="AK21" s="39">
        <f>IF($B21="","",COUNTIF(D21:AH21,"A"))</f>
        <v/>
      </c>
      <c r="AL21" s="39">
        <f>IF($B21="","",COUNTIF(D21:AH21,"C"))</f>
        <v/>
      </c>
      <c r="AM21" s="39">
        <f>IF($B21="","",COUNTIF(D21:AH21,"M"))</f>
        <v/>
      </c>
      <c r="AN21" s="40">
        <f>IF($B21="","",IF(AI21+AJ21+AK21+AM21=0,"",(AI21+AJ21)/(AI21+AJ21+AK21+AM21)))</f>
        <v/>
      </c>
      <c r="AO21" s="41">
        <f>IF($B21="","",IF('Employés'!D19="","",(AI21+AJ21+AL21)*'Employés'!D19))</f>
        <v/>
      </c>
    </row>
    <row r="22" ht="20" customHeight="1">
      <c r="A22" s="37">
        <f>IF('Employés'!B20="","",'Employés'!A20)</f>
        <v/>
      </c>
      <c r="B22" s="38">
        <f>IF('Employés'!B20="","",'Employés'!B20)</f>
        <v/>
      </c>
      <c r="C22" s="38">
        <f>IF('Employés'!C20="","",'Employés'!C20)</f>
        <v/>
      </c>
      <c r="D22" s="37" t="n"/>
      <c r="E22" s="37" t="n"/>
      <c r="F22" s="37" t="n"/>
      <c r="G22" s="37" t="n"/>
      <c r="H22" s="37" t="n"/>
      <c r="I22" s="37" t="n"/>
      <c r="J22" s="37" t="n"/>
      <c r="K22" s="37" t="n"/>
      <c r="L22" s="37" t="n"/>
      <c r="M22" s="37" t="n"/>
      <c r="N22" s="37" t="n"/>
      <c r="O22" s="37" t="n"/>
      <c r="P22" s="37" t="n"/>
      <c r="Q22" s="37" t="n"/>
      <c r="R22" s="37" t="n"/>
      <c r="S22" s="37" t="n"/>
      <c r="T22" s="37" t="n"/>
      <c r="U22" s="37" t="n"/>
      <c r="V22" s="37" t="n"/>
      <c r="W22" s="37" t="n"/>
      <c r="X22" s="37" t="n"/>
      <c r="Y22" s="37" t="n"/>
      <c r="Z22" s="37" t="n"/>
      <c r="AA22" s="37" t="n"/>
      <c r="AB22" s="37" t="n"/>
      <c r="AC22" s="37" t="n"/>
      <c r="AD22" s="37" t="n"/>
      <c r="AE22" s="37" t="n"/>
      <c r="AF22" s="37" t="n"/>
      <c r="AG22" s="37" t="n"/>
      <c r="AH22" s="37" t="n"/>
      <c r="AI22" s="39">
        <f>IF($B22="","",COUNTIF(D22:AH22,"P"))</f>
        <v/>
      </c>
      <c r="AJ22" s="39">
        <f>IF($B22="","",COUNTIF(D22:AH22,"R"))</f>
        <v/>
      </c>
      <c r="AK22" s="39">
        <f>IF($B22="","",COUNTIF(D22:AH22,"A"))</f>
        <v/>
      </c>
      <c r="AL22" s="39">
        <f>IF($B22="","",COUNTIF(D22:AH22,"C"))</f>
        <v/>
      </c>
      <c r="AM22" s="39">
        <f>IF($B22="","",COUNTIF(D22:AH22,"M"))</f>
        <v/>
      </c>
      <c r="AN22" s="40">
        <f>IF($B22="","",IF(AI22+AJ22+AK22+AM22=0,"",(AI22+AJ22)/(AI22+AJ22+AK22+AM22)))</f>
        <v/>
      </c>
      <c r="AO22" s="41">
        <f>IF($B22="","",IF('Employés'!D20="","",(AI22+AJ22+AL22)*'Employés'!D20))</f>
        <v/>
      </c>
    </row>
    <row r="23" ht="20" customHeight="1">
      <c r="A23" s="37">
        <f>IF('Employés'!B21="","",'Employés'!A21)</f>
        <v/>
      </c>
      <c r="B23" s="38">
        <f>IF('Employés'!B21="","",'Employés'!B21)</f>
        <v/>
      </c>
      <c r="C23" s="38">
        <f>IF('Employés'!C21="","",'Employés'!C21)</f>
        <v/>
      </c>
      <c r="D23" s="37" t="n"/>
      <c r="E23" s="37" t="n"/>
      <c r="F23" s="37" t="n"/>
      <c r="G23" s="37" t="n"/>
      <c r="H23" s="37" t="n"/>
      <c r="I23" s="37" t="n"/>
      <c r="J23" s="37" t="n"/>
      <c r="K23" s="37" t="n"/>
      <c r="L23" s="37" t="n"/>
      <c r="M23" s="37" t="n"/>
      <c r="N23" s="37" t="n"/>
      <c r="O23" s="37" t="n"/>
      <c r="P23" s="37" t="n"/>
      <c r="Q23" s="37" t="n"/>
      <c r="R23" s="37" t="n"/>
      <c r="S23" s="37" t="n"/>
      <c r="T23" s="37" t="n"/>
      <c r="U23" s="37" t="n"/>
      <c r="V23" s="37" t="n"/>
      <c r="W23" s="37" t="n"/>
      <c r="X23" s="37" t="n"/>
      <c r="Y23" s="37" t="n"/>
      <c r="Z23" s="37" t="n"/>
      <c r="AA23" s="37" t="n"/>
      <c r="AB23" s="37" t="n"/>
      <c r="AC23" s="37" t="n"/>
      <c r="AD23" s="37" t="n"/>
      <c r="AE23" s="37" t="n"/>
      <c r="AF23" s="37" t="n"/>
      <c r="AG23" s="37" t="n"/>
      <c r="AH23" s="37" t="n"/>
      <c r="AI23" s="39">
        <f>IF($B23="","",COUNTIF(D23:AH23,"P"))</f>
        <v/>
      </c>
      <c r="AJ23" s="39">
        <f>IF($B23="","",COUNTIF(D23:AH23,"R"))</f>
        <v/>
      </c>
      <c r="AK23" s="39">
        <f>IF($B23="","",COUNTIF(D23:AH23,"A"))</f>
        <v/>
      </c>
      <c r="AL23" s="39">
        <f>IF($B23="","",COUNTIF(D23:AH23,"C"))</f>
        <v/>
      </c>
      <c r="AM23" s="39">
        <f>IF($B23="","",COUNTIF(D23:AH23,"M"))</f>
        <v/>
      </c>
      <c r="AN23" s="40">
        <f>IF($B23="","",IF(AI23+AJ23+AK23+AM23=0,"",(AI23+AJ23)/(AI23+AJ23+AK23+AM23)))</f>
        <v/>
      </c>
      <c r="AO23" s="41">
        <f>IF($B23="","",IF('Employés'!D21="","",(AI23+AJ23+AL23)*'Employés'!D21))</f>
        <v/>
      </c>
    </row>
    <row r="24" ht="20" customHeight="1">
      <c r="A24" s="37">
        <f>IF('Employés'!B22="","",'Employés'!A22)</f>
        <v/>
      </c>
      <c r="B24" s="38">
        <f>IF('Employés'!B22="","",'Employés'!B22)</f>
        <v/>
      </c>
      <c r="C24" s="38">
        <f>IF('Employés'!C22="","",'Employés'!C22)</f>
        <v/>
      </c>
      <c r="D24" s="37" t="n"/>
      <c r="E24" s="37" t="n"/>
      <c r="F24" s="37" t="n"/>
      <c r="G24" s="37" t="n"/>
      <c r="H24" s="37" t="n"/>
      <c r="I24" s="37" t="n"/>
      <c r="J24" s="37" t="n"/>
      <c r="K24" s="37" t="n"/>
      <c r="L24" s="37" t="n"/>
      <c r="M24" s="37" t="n"/>
      <c r="N24" s="37" t="n"/>
      <c r="O24" s="37" t="n"/>
      <c r="P24" s="37" t="n"/>
      <c r="Q24" s="37" t="n"/>
      <c r="R24" s="37" t="n"/>
      <c r="S24" s="37" t="n"/>
      <c r="T24" s="37" t="n"/>
      <c r="U24" s="37" t="n"/>
      <c r="V24" s="37" t="n"/>
      <c r="W24" s="37" t="n"/>
      <c r="X24" s="37" t="n"/>
      <c r="Y24" s="37" t="n"/>
      <c r="Z24" s="37" t="n"/>
      <c r="AA24" s="37" t="n"/>
      <c r="AB24" s="37" t="n"/>
      <c r="AC24" s="37" t="n"/>
      <c r="AD24" s="37" t="n"/>
      <c r="AE24" s="37" t="n"/>
      <c r="AF24" s="37" t="n"/>
      <c r="AG24" s="37" t="n"/>
      <c r="AH24" s="37" t="n"/>
      <c r="AI24" s="39">
        <f>IF($B24="","",COUNTIF(D24:AH24,"P"))</f>
        <v/>
      </c>
      <c r="AJ24" s="39">
        <f>IF($B24="","",COUNTIF(D24:AH24,"R"))</f>
        <v/>
      </c>
      <c r="AK24" s="39">
        <f>IF($B24="","",COUNTIF(D24:AH24,"A"))</f>
        <v/>
      </c>
      <c r="AL24" s="39">
        <f>IF($B24="","",COUNTIF(D24:AH24,"C"))</f>
        <v/>
      </c>
      <c r="AM24" s="39">
        <f>IF($B24="","",COUNTIF(D24:AH24,"M"))</f>
        <v/>
      </c>
      <c r="AN24" s="40">
        <f>IF($B24="","",IF(AI24+AJ24+AK24+AM24=0,"",(AI24+AJ24)/(AI24+AJ24+AK24+AM24)))</f>
        <v/>
      </c>
      <c r="AO24" s="41">
        <f>IF($B24="","",IF('Employés'!D22="","",(AI24+AJ24+AL24)*'Employés'!D22))</f>
        <v/>
      </c>
    </row>
    <row r="25" ht="20" customHeight="1">
      <c r="A25" s="37">
        <f>IF('Employés'!B23="","",'Employés'!A23)</f>
        <v/>
      </c>
      <c r="B25" s="38">
        <f>IF('Employés'!B23="","",'Employés'!B23)</f>
        <v/>
      </c>
      <c r="C25" s="38">
        <f>IF('Employés'!C23="","",'Employés'!C23)</f>
        <v/>
      </c>
      <c r="D25" s="37" t="n"/>
      <c r="E25" s="37" t="n"/>
      <c r="F25" s="37" t="n"/>
      <c r="G25" s="37" t="n"/>
      <c r="H25" s="37" t="n"/>
      <c r="I25" s="37" t="n"/>
      <c r="J25" s="37" t="n"/>
      <c r="K25" s="37" t="n"/>
      <c r="L25" s="37" t="n"/>
      <c r="M25" s="37" t="n"/>
      <c r="N25" s="37" t="n"/>
      <c r="O25" s="37" t="n"/>
      <c r="P25" s="37" t="n"/>
      <c r="Q25" s="37" t="n"/>
      <c r="R25" s="37" t="n"/>
      <c r="S25" s="37" t="n"/>
      <c r="T25" s="37" t="n"/>
      <c r="U25" s="37" t="n"/>
      <c r="V25" s="37" t="n"/>
      <c r="W25" s="37" t="n"/>
      <c r="X25" s="37" t="n"/>
      <c r="Y25" s="37" t="n"/>
      <c r="Z25" s="37" t="n"/>
      <c r="AA25" s="37" t="n"/>
      <c r="AB25" s="37" t="n"/>
      <c r="AC25" s="37" t="n"/>
      <c r="AD25" s="37" t="n"/>
      <c r="AE25" s="37" t="n"/>
      <c r="AF25" s="37" t="n"/>
      <c r="AG25" s="37" t="n"/>
      <c r="AH25" s="37" t="n"/>
      <c r="AI25" s="39">
        <f>IF($B25="","",COUNTIF(D25:AH25,"P"))</f>
        <v/>
      </c>
      <c r="AJ25" s="39">
        <f>IF($B25="","",COUNTIF(D25:AH25,"R"))</f>
        <v/>
      </c>
      <c r="AK25" s="39">
        <f>IF($B25="","",COUNTIF(D25:AH25,"A"))</f>
        <v/>
      </c>
      <c r="AL25" s="39">
        <f>IF($B25="","",COUNTIF(D25:AH25,"C"))</f>
        <v/>
      </c>
      <c r="AM25" s="39">
        <f>IF($B25="","",COUNTIF(D25:AH25,"M"))</f>
        <v/>
      </c>
      <c r="AN25" s="40">
        <f>IF($B25="","",IF(AI25+AJ25+AK25+AM25=0,"",(AI25+AJ25)/(AI25+AJ25+AK25+AM25)))</f>
        <v/>
      </c>
      <c r="AO25" s="41">
        <f>IF($B25="","",IF('Employés'!D23="","",(AI25+AJ25+AL25)*'Employés'!D23))</f>
        <v/>
      </c>
    </row>
    <row r="26" ht="20" customHeight="1">
      <c r="A26" s="37">
        <f>IF('Employés'!B24="","",'Employés'!A24)</f>
        <v/>
      </c>
      <c r="B26" s="38">
        <f>IF('Employés'!B24="","",'Employés'!B24)</f>
        <v/>
      </c>
      <c r="C26" s="38">
        <f>IF('Employés'!C24="","",'Employés'!C24)</f>
        <v/>
      </c>
      <c r="D26" s="37" t="n"/>
      <c r="E26" s="37" t="n"/>
      <c r="F26" s="37" t="n"/>
      <c r="G26" s="37" t="n"/>
      <c r="H26" s="37" t="n"/>
      <c r="I26" s="37" t="n"/>
      <c r="J26" s="37" t="n"/>
      <c r="K26" s="37" t="n"/>
      <c r="L26" s="37" t="n"/>
      <c r="M26" s="37" t="n"/>
      <c r="N26" s="37" t="n"/>
      <c r="O26" s="37" t="n"/>
      <c r="P26" s="37" t="n"/>
      <c r="Q26" s="37" t="n"/>
      <c r="R26" s="37" t="n"/>
      <c r="S26" s="37" t="n"/>
      <c r="T26" s="37" t="n"/>
      <c r="U26" s="37" t="n"/>
      <c r="V26" s="37" t="n"/>
      <c r="W26" s="37" t="n"/>
      <c r="X26" s="37" t="n"/>
      <c r="Y26" s="37" t="n"/>
      <c r="Z26" s="37" t="n"/>
      <c r="AA26" s="37" t="n"/>
      <c r="AB26" s="37" t="n"/>
      <c r="AC26" s="37" t="n"/>
      <c r="AD26" s="37" t="n"/>
      <c r="AE26" s="37" t="n"/>
      <c r="AF26" s="37" t="n"/>
      <c r="AG26" s="37" t="n"/>
      <c r="AH26" s="37" t="n"/>
      <c r="AI26" s="39">
        <f>IF($B26="","",COUNTIF(D26:AH26,"P"))</f>
        <v/>
      </c>
      <c r="AJ26" s="39">
        <f>IF($B26="","",COUNTIF(D26:AH26,"R"))</f>
        <v/>
      </c>
      <c r="AK26" s="39">
        <f>IF($B26="","",COUNTIF(D26:AH26,"A"))</f>
        <v/>
      </c>
      <c r="AL26" s="39">
        <f>IF($B26="","",COUNTIF(D26:AH26,"C"))</f>
        <v/>
      </c>
      <c r="AM26" s="39">
        <f>IF($B26="","",COUNTIF(D26:AH26,"M"))</f>
        <v/>
      </c>
      <c r="AN26" s="40">
        <f>IF($B26="","",IF(AI26+AJ26+AK26+AM26=0,"",(AI26+AJ26)/(AI26+AJ26+AK26+AM26)))</f>
        <v/>
      </c>
      <c r="AO26" s="41">
        <f>IF($B26="","",IF('Employés'!D24="","",(AI26+AJ26+AL26)*'Employés'!D24))</f>
        <v/>
      </c>
    </row>
    <row r="27" ht="20" customHeight="1">
      <c r="A27" s="37">
        <f>IF('Employés'!B25="","",'Employés'!A25)</f>
        <v/>
      </c>
      <c r="B27" s="38">
        <f>IF('Employés'!B25="","",'Employés'!B25)</f>
        <v/>
      </c>
      <c r="C27" s="38">
        <f>IF('Employés'!C25="","",'Employés'!C25)</f>
        <v/>
      </c>
      <c r="D27" s="37" t="n"/>
      <c r="E27" s="37" t="n"/>
      <c r="F27" s="37" t="n"/>
      <c r="G27" s="37" t="n"/>
      <c r="H27" s="37" t="n"/>
      <c r="I27" s="37" t="n"/>
      <c r="J27" s="37" t="n"/>
      <c r="K27" s="37" t="n"/>
      <c r="L27" s="37" t="n"/>
      <c r="M27" s="37" t="n"/>
      <c r="N27" s="37" t="n"/>
      <c r="O27" s="37" t="n"/>
      <c r="P27" s="37" t="n"/>
      <c r="Q27" s="37" t="n"/>
      <c r="R27" s="37" t="n"/>
      <c r="S27" s="37" t="n"/>
      <c r="T27" s="37" t="n"/>
      <c r="U27" s="37" t="n"/>
      <c r="V27" s="37" t="n"/>
      <c r="W27" s="37" t="n"/>
      <c r="X27" s="37" t="n"/>
      <c r="Y27" s="37" t="n"/>
      <c r="Z27" s="37" t="n"/>
      <c r="AA27" s="37" t="n"/>
      <c r="AB27" s="37" t="n"/>
      <c r="AC27" s="37" t="n"/>
      <c r="AD27" s="37" t="n"/>
      <c r="AE27" s="37" t="n"/>
      <c r="AF27" s="37" t="n"/>
      <c r="AG27" s="37" t="n"/>
      <c r="AH27" s="37" t="n"/>
      <c r="AI27" s="39">
        <f>IF($B27="","",COUNTIF(D27:AH27,"P"))</f>
        <v/>
      </c>
      <c r="AJ27" s="39">
        <f>IF($B27="","",COUNTIF(D27:AH27,"R"))</f>
        <v/>
      </c>
      <c r="AK27" s="39">
        <f>IF($B27="","",COUNTIF(D27:AH27,"A"))</f>
        <v/>
      </c>
      <c r="AL27" s="39">
        <f>IF($B27="","",COUNTIF(D27:AH27,"C"))</f>
        <v/>
      </c>
      <c r="AM27" s="39">
        <f>IF($B27="","",COUNTIF(D27:AH27,"M"))</f>
        <v/>
      </c>
      <c r="AN27" s="40">
        <f>IF($B27="","",IF(AI27+AJ27+AK27+AM27=0,"",(AI27+AJ27)/(AI27+AJ27+AK27+AM27)))</f>
        <v/>
      </c>
      <c r="AO27" s="41">
        <f>IF($B27="","",IF('Employés'!D25="","",(AI27+AJ27+AL27)*'Employés'!D25))</f>
        <v/>
      </c>
    </row>
    <row r="28" ht="20" customHeight="1">
      <c r="A28" s="37">
        <f>IF('Employés'!B26="","",'Employés'!A26)</f>
        <v/>
      </c>
      <c r="B28" s="38">
        <f>IF('Employés'!B26="","",'Employés'!B26)</f>
        <v/>
      </c>
      <c r="C28" s="38">
        <f>IF('Employés'!C26="","",'Employés'!C26)</f>
        <v/>
      </c>
      <c r="D28" s="37" t="n"/>
      <c r="E28" s="37" t="n"/>
      <c r="F28" s="37" t="n"/>
      <c r="G28" s="37" t="n"/>
      <c r="H28" s="37" t="n"/>
      <c r="I28" s="37" t="n"/>
      <c r="J28" s="37" t="n"/>
      <c r="K28" s="37" t="n"/>
      <c r="L28" s="37" t="n"/>
      <c r="M28" s="37" t="n"/>
      <c r="N28" s="37" t="n"/>
      <c r="O28" s="37" t="n"/>
      <c r="P28" s="37" t="n"/>
      <c r="Q28" s="37" t="n"/>
      <c r="R28" s="37" t="n"/>
      <c r="S28" s="37" t="n"/>
      <c r="T28" s="37" t="n"/>
      <c r="U28" s="37" t="n"/>
      <c r="V28" s="37" t="n"/>
      <c r="W28" s="37" t="n"/>
      <c r="X28" s="37" t="n"/>
      <c r="Y28" s="37" t="n"/>
      <c r="Z28" s="37" t="n"/>
      <c r="AA28" s="37" t="n"/>
      <c r="AB28" s="37" t="n"/>
      <c r="AC28" s="37" t="n"/>
      <c r="AD28" s="37" t="n"/>
      <c r="AE28" s="37" t="n"/>
      <c r="AF28" s="37" t="n"/>
      <c r="AG28" s="37" t="n"/>
      <c r="AH28" s="37" t="n"/>
      <c r="AI28" s="39">
        <f>IF($B28="","",COUNTIF(D28:AH28,"P"))</f>
        <v/>
      </c>
      <c r="AJ28" s="39">
        <f>IF($B28="","",COUNTIF(D28:AH28,"R"))</f>
        <v/>
      </c>
      <c r="AK28" s="39">
        <f>IF($B28="","",COUNTIF(D28:AH28,"A"))</f>
        <v/>
      </c>
      <c r="AL28" s="39">
        <f>IF($B28="","",COUNTIF(D28:AH28,"C"))</f>
        <v/>
      </c>
      <c r="AM28" s="39">
        <f>IF($B28="","",COUNTIF(D28:AH28,"M"))</f>
        <v/>
      </c>
      <c r="AN28" s="40">
        <f>IF($B28="","",IF(AI28+AJ28+AK28+AM28=0,"",(AI28+AJ28)/(AI28+AJ28+AK28+AM28)))</f>
        <v/>
      </c>
      <c r="AO28" s="41">
        <f>IF($B28="","",IF('Employés'!D26="","",(AI28+AJ28+AL28)*'Employés'!D26))</f>
        <v/>
      </c>
    </row>
    <row r="29" ht="20" customHeight="1">
      <c r="A29" s="37">
        <f>IF('Employés'!B27="","",'Employés'!A27)</f>
        <v/>
      </c>
      <c r="B29" s="38">
        <f>IF('Employés'!B27="","",'Employés'!B27)</f>
        <v/>
      </c>
      <c r="C29" s="38">
        <f>IF('Employés'!C27="","",'Employés'!C27)</f>
        <v/>
      </c>
      <c r="D29" s="37" t="n"/>
      <c r="E29" s="37" t="n"/>
      <c r="F29" s="37" t="n"/>
      <c r="G29" s="37" t="n"/>
      <c r="H29" s="37" t="n"/>
      <c r="I29" s="37" t="n"/>
      <c r="J29" s="37" t="n"/>
      <c r="K29" s="37" t="n"/>
      <c r="L29" s="37" t="n"/>
      <c r="M29" s="37" t="n"/>
      <c r="N29" s="37" t="n"/>
      <c r="O29" s="37" t="n"/>
      <c r="P29" s="37" t="n"/>
      <c r="Q29" s="37" t="n"/>
      <c r="R29" s="37" t="n"/>
      <c r="S29" s="37" t="n"/>
      <c r="T29" s="37" t="n"/>
      <c r="U29" s="37" t="n"/>
      <c r="V29" s="37" t="n"/>
      <c r="W29" s="37" t="n"/>
      <c r="X29" s="37" t="n"/>
      <c r="Y29" s="37" t="n"/>
      <c r="Z29" s="37" t="n"/>
      <c r="AA29" s="37" t="n"/>
      <c r="AB29" s="37" t="n"/>
      <c r="AC29" s="37" t="n"/>
      <c r="AD29" s="37" t="n"/>
      <c r="AE29" s="37" t="n"/>
      <c r="AF29" s="37" t="n"/>
      <c r="AG29" s="37" t="n"/>
      <c r="AH29" s="37" t="n"/>
      <c r="AI29" s="39">
        <f>IF($B29="","",COUNTIF(D29:AH29,"P"))</f>
        <v/>
      </c>
      <c r="AJ29" s="39">
        <f>IF($B29="","",COUNTIF(D29:AH29,"R"))</f>
        <v/>
      </c>
      <c r="AK29" s="39">
        <f>IF($B29="","",COUNTIF(D29:AH29,"A"))</f>
        <v/>
      </c>
      <c r="AL29" s="39">
        <f>IF($B29="","",COUNTIF(D29:AH29,"C"))</f>
        <v/>
      </c>
      <c r="AM29" s="39">
        <f>IF($B29="","",COUNTIF(D29:AH29,"M"))</f>
        <v/>
      </c>
      <c r="AN29" s="40">
        <f>IF($B29="","",IF(AI29+AJ29+AK29+AM29=0,"",(AI29+AJ29)/(AI29+AJ29+AK29+AM29)))</f>
        <v/>
      </c>
      <c r="AO29" s="41">
        <f>IF($B29="","",IF('Employés'!D27="","",(AI29+AJ29+AL29)*'Employés'!D27))</f>
        <v/>
      </c>
    </row>
    <row r="30" ht="20" customHeight="1">
      <c r="A30" s="37">
        <f>IF('Employés'!B28="","",'Employés'!A28)</f>
        <v/>
      </c>
      <c r="B30" s="38">
        <f>IF('Employés'!B28="","",'Employés'!B28)</f>
        <v/>
      </c>
      <c r="C30" s="38">
        <f>IF('Employés'!C28="","",'Employés'!C28)</f>
        <v/>
      </c>
      <c r="D30" s="37" t="n"/>
      <c r="E30" s="37" t="n"/>
      <c r="F30" s="37" t="n"/>
      <c r="G30" s="37" t="n"/>
      <c r="H30" s="37" t="n"/>
      <c r="I30" s="37" t="n"/>
      <c r="J30" s="37" t="n"/>
      <c r="K30" s="37" t="n"/>
      <c r="L30" s="37" t="n"/>
      <c r="M30" s="37" t="n"/>
      <c r="N30" s="37" t="n"/>
      <c r="O30" s="37" t="n"/>
      <c r="P30" s="37" t="n"/>
      <c r="Q30" s="37" t="n"/>
      <c r="R30" s="37" t="n"/>
      <c r="S30" s="37" t="n"/>
      <c r="T30" s="37" t="n"/>
      <c r="U30" s="37" t="n"/>
      <c r="V30" s="37" t="n"/>
      <c r="W30" s="37" t="n"/>
      <c r="X30" s="37" t="n"/>
      <c r="Y30" s="37" t="n"/>
      <c r="Z30" s="37" t="n"/>
      <c r="AA30" s="37" t="n"/>
      <c r="AB30" s="37" t="n"/>
      <c r="AC30" s="37" t="n"/>
      <c r="AD30" s="37" t="n"/>
      <c r="AE30" s="37" t="n"/>
      <c r="AF30" s="37" t="n"/>
      <c r="AG30" s="37" t="n"/>
      <c r="AH30" s="37" t="n"/>
      <c r="AI30" s="39">
        <f>IF($B30="","",COUNTIF(D30:AH30,"P"))</f>
        <v/>
      </c>
      <c r="AJ30" s="39">
        <f>IF($B30="","",COUNTIF(D30:AH30,"R"))</f>
        <v/>
      </c>
      <c r="AK30" s="39">
        <f>IF($B30="","",COUNTIF(D30:AH30,"A"))</f>
        <v/>
      </c>
      <c r="AL30" s="39">
        <f>IF($B30="","",COUNTIF(D30:AH30,"C"))</f>
        <v/>
      </c>
      <c r="AM30" s="39">
        <f>IF($B30="","",COUNTIF(D30:AH30,"M"))</f>
        <v/>
      </c>
      <c r="AN30" s="40">
        <f>IF($B30="","",IF(AI30+AJ30+AK30+AM30=0,"",(AI30+AJ30)/(AI30+AJ30+AK30+AM30)))</f>
        <v/>
      </c>
      <c r="AO30" s="41">
        <f>IF($B30="","",IF('Employés'!D28="","",(AI30+AJ30+AL30)*'Employés'!D28))</f>
        <v/>
      </c>
    </row>
    <row r="31" ht="20" customHeight="1">
      <c r="A31" s="37">
        <f>IF('Employés'!B29="","",'Employés'!A29)</f>
        <v/>
      </c>
      <c r="B31" s="38">
        <f>IF('Employés'!B29="","",'Employés'!B29)</f>
        <v/>
      </c>
      <c r="C31" s="38">
        <f>IF('Employés'!C29="","",'Employés'!C29)</f>
        <v/>
      </c>
      <c r="D31" s="37" t="n"/>
      <c r="E31" s="37" t="n"/>
      <c r="F31" s="37" t="n"/>
      <c r="G31" s="37" t="n"/>
      <c r="H31" s="37" t="n"/>
      <c r="I31" s="37" t="n"/>
      <c r="J31" s="37" t="n"/>
      <c r="K31" s="37" t="n"/>
      <c r="L31" s="37" t="n"/>
      <c r="M31" s="37" t="n"/>
      <c r="N31" s="37" t="n"/>
      <c r="O31" s="37" t="n"/>
      <c r="P31" s="37" t="n"/>
      <c r="Q31" s="37" t="n"/>
      <c r="R31" s="37" t="n"/>
      <c r="S31" s="37" t="n"/>
      <c r="T31" s="37" t="n"/>
      <c r="U31" s="37" t="n"/>
      <c r="V31" s="37" t="n"/>
      <c r="W31" s="37" t="n"/>
      <c r="X31" s="37" t="n"/>
      <c r="Y31" s="37" t="n"/>
      <c r="Z31" s="37" t="n"/>
      <c r="AA31" s="37" t="n"/>
      <c r="AB31" s="37" t="n"/>
      <c r="AC31" s="37" t="n"/>
      <c r="AD31" s="37" t="n"/>
      <c r="AE31" s="37" t="n"/>
      <c r="AF31" s="37" t="n"/>
      <c r="AG31" s="37" t="n"/>
      <c r="AH31" s="37" t="n"/>
      <c r="AI31" s="39">
        <f>IF($B31="","",COUNTIF(D31:AH31,"P"))</f>
        <v/>
      </c>
      <c r="AJ31" s="39">
        <f>IF($B31="","",COUNTIF(D31:AH31,"R"))</f>
        <v/>
      </c>
      <c r="AK31" s="39">
        <f>IF($B31="","",COUNTIF(D31:AH31,"A"))</f>
        <v/>
      </c>
      <c r="AL31" s="39">
        <f>IF($B31="","",COUNTIF(D31:AH31,"C"))</f>
        <v/>
      </c>
      <c r="AM31" s="39">
        <f>IF($B31="","",COUNTIF(D31:AH31,"M"))</f>
        <v/>
      </c>
      <c r="AN31" s="40">
        <f>IF($B31="","",IF(AI31+AJ31+AK31+AM31=0,"",(AI31+AJ31)/(AI31+AJ31+AK31+AM31)))</f>
        <v/>
      </c>
      <c r="AO31" s="41">
        <f>IF($B31="","",IF('Employés'!D29="","",(AI31+AJ31+AL31)*'Employés'!D29))</f>
        <v/>
      </c>
    </row>
    <row r="32" ht="20" customHeight="1">
      <c r="A32" s="37">
        <f>IF('Employés'!B30="","",'Employés'!A30)</f>
        <v/>
      </c>
      <c r="B32" s="38">
        <f>IF('Employés'!B30="","",'Employés'!B30)</f>
        <v/>
      </c>
      <c r="C32" s="38">
        <f>IF('Employés'!C30="","",'Employés'!C30)</f>
        <v/>
      </c>
      <c r="D32" s="37" t="n"/>
      <c r="E32" s="37" t="n"/>
      <c r="F32" s="37" t="n"/>
      <c r="G32" s="37" t="n"/>
      <c r="H32" s="37" t="n"/>
      <c r="I32" s="37" t="n"/>
      <c r="J32" s="37" t="n"/>
      <c r="K32" s="37" t="n"/>
      <c r="L32" s="37" t="n"/>
      <c r="M32" s="37" t="n"/>
      <c r="N32" s="37" t="n"/>
      <c r="O32" s="37" t="n"/>
      <c r="P32" s="37" t="n"/>
      <c r="Q32" s="37" t="n"/>
      <c r="R32" s="37" t="n"/>
      <c r="S32" s="37" t="n"/>
      <c r="T32" s="37" t="n"/>
      <c r="U32" s="37" t="n"/>
      <c r="V32" s="37" t="n"/>
      <c r="W32" s="37" t="n"/>
      <c r="X32" s="37" t="n"/>
      <c r="Y32" s="37" t="n"/>
      <c r="Z32" s="37" t="n"/>
      <c r="AA32" s="37" t="n"/>
      <c r="AB32" s="37" t="n"/>
      <c r="AC32" s="37" t="n"/>
      <c r="AD32" s="37" t="n"/>
      <c r="AE32" s="37" t="n"/>
      <c r="AF32" s="37" t="n"/>
      <c r="AG32" s="37" t="n"/>
      <c r="AH32" s="37" t="n"/>
      <c r="AI32" s="39">
        <f>IF($B32="","",COUNTIF(D32:AH32,"P"))</f>
        <v/>
      </c>
      <c r="AJ32" s="39">
        <f>IF($B32="","",COUNTIF(D32:AH32,"R"))</f>
        <v/>
      </c>
      <c r="AK32" s="39">
        <f>IF($B32="","",COUNTIF(D32:AH32,"A"))</f>
        <v/>
      </c>
      <c r="AL32" s="39">
        <f>IF($B32="","",COUNTIF(D32:AH32,"C"))</f>
        <v/>
      </c>
      <c r="AM32" s="39">
        <f>IF($B32="","",COUNTIF(D32:AH32,"M"))</f>
        <v/>
      </c>
      <c r="AN32" s="40">
        <f>IF($B32="","",IF(AI32+AJ32+AK32+AM32=0,"",(AI32+AJ32)/(AI32+AJ32+AK32+AM32)))</f>
        <v/>
      </c>
      <c r="AO32" s="41">
        <f>IF($B32="","",IF('Employés'!D30="","",(AI32+AJ32+AL32)*'Employés'!D30))</f>
        <v/>
      </c>
    </row>
    <row r="33" ht="20" customHeight="1">
      <c r="A33" s="37">
        <f>IF('Employés'!B31="","",'Employés'!A31)</f>
        <v/>
      </c>
      <c r="B33" s="38">
        <f>IF('Employés'!B31="","",'Employés'!B31)</f>
        <v/>
      </c>
      <c r="C33" s="38">
        <f>IF('Employés'!C31="","",'Employés'!C31)</f>
        <v/>
      </c>
      <c r="D33" s="37" t="n"/>
      <c r="E33" s="37" t="n"/>
      <c r="F33" s="37" t="n"/>
      <c r="G33" s="37" t="n"/>
      <c r="H33" s="37" t="n"/>
      <c r="I33" s="37" t="n"/>
      <c r="J33" s="37" t="n"/>
      <c r="K33" s="37" t="n"/>
      <c r="L33" s="37" t="n"/>
      <c r="M33" s="37" t="n"/>
      <c r="N33" s="37" t="n"/>
      <c r="O33" s="37" t="n"/>
      <c r="P33" s="37" t="n"/>
      <c r="Q33" s="37" t="n"/>
      <c r="R33" s="37" t="n"/>
      <c r="S33" s="37" t="n"/>
      <c r="T33" s="37" t="n"/>
      <c r="U33" s="37" t="n"/>
      <c r="V33" s="37" t="n"/>
      <c r="W33" s="37" t="n"/>
      <c r="X33" s="37" t="n"/>
      <c r="Y33" s="37" t="n"/>
      <c r="Z33" s="37" t="n"/>
      <c r="AA33" s="37" t="n"/>
      <c r="AB33" s="37" t="n"/>
      <c r="AC33" s="37" t="n"/>
      <c r="AD33" s="37" t="n"/>
      <c r="AE33" s="37" t="n"/>
      <c r="AF33" s="37" t="n"/>
      <c r="AG33" s="37" t="n"/>
      <c r="AH33" s="37" t="n"/>
      <c r="AI33" s="39">
        <f>IF($B33="","",COUNTIF(D33:AH33,"P"))</f>
        <v/>
      </c>
      <c r="AJ33" s="39">
        <f>IF($B33="","",COUNTIF(D33:AH33,"R"))</f>
        <v/>
      </c>
      <c r="AK33" s="39">
        <f>IF($B33="","",COUNTIF(D33:AH33,"A"))</f>
        <v/>
      </c>
      <c r="AL33" s="39">
        <f>IF($B33="","",COUNTIF(D33:AH33,"C"))</f>
        <v/>
      </c>
      <c r="AM33" s="39">
        <f>IF($B33="","",COUNTIF(D33:AH33,"M"))</f>
        <v/>
      </c>
      <c r="AN33" s="40">
        <f>IF($B33="","",IF(AI33+AJ33+AK33+AM33=0,"",(AI33+AJ33)/(AI33+AJ33+AK33+AM33)))</f>
        <v/>
      </c>
      <c r="AO33" s="41">
        <f>IF($B33="","",IF('Employés'!D31="","",(AI33+AJ33+AL33)*'Employés'!D31))</f>
        <v/>
      </c>
    </row>
    <row r="34" ht="20" customHeight="1">
      <c r="A34" s="37">
        <f>IF('Employés'!B32="","",'Employés'!A32)</f>
        <v/>
      </c>
      <c r="B34" s="38">
        <f>IF('Employés'!B32="","",'Employés'!B32)</f>
        <v/>
      </c>
      <c r="C34" s="38">
        <f>IF('Employés'!C32="","",'Employés'!C32)</f>
        <v/>
      </c>
      <c r="D34" s="37" t="n"/>
      <c r="E34" s="37" t="n"/>
      <c r="F34" s="37" t="n"/>
      <c r="G34" s="37" t="n"/>
      <c r="H34" s="37" t="n"/>
      <c r="I34" s="37" t="n"/>
      <c r="J34" s="37" t="n"/>
      <c r="K34" s="37" t="n"/>
      <c r="L34" s="37" t="n"/>
      <c r="M34" s="37" t="n"/>
      <c r="N34" s="37" t="n"/>
      <c r="O34" s="37" t="n"/>
      <c r="P34" s="37" t="n"/>
      <c r="Q34" s="37" t="n"/>
      <c r="R34" s="37" t="n"/>
      <c r="S34" s="37" t="n"/>
      <c r="T34" s="37" t="n"/>
      <c r="U34" s="37" t="n"/>
      <c r="V34" s="37" t="n"/>
      <c r="W34" s="37" t="n"/>
      <c r="X34" s="37" t="n"/>
      <c r="Y34" s="37" t="n"/>
      <c r="Z34" s="37" t="n"/>
      <c r="AA34" s="37" t="n"/>
      <c r="AB34" s="37" t="n"/>
      <c r="AC34" s="37" t="n"/>
      <c r="AD34" s="37" t="n"/>
      <c r="AE34" s="37" t="n"/>
      <c r="AF34" s="37" t="n"/>
      <c r="AG34" s="37" t="n"/>
      <c r="AH34" s="37" t="n"/>
      <c r="AI34" s="39">
        <f>IF($B34="","",COUNTIF(D34:AH34,"P"))</f>
        <v/>
      </c>
      <c r="AJ34" s="39">
        <f>IF($B34="","",COUNTIF(D34:AH34,"R"))</f>
        <v/>
      </c>
      <c r="AK34" s="39">
        <f>IF($B34="","",COUNTIF(D34:AH34,"A"))</f>
        <v/>
      </c>
      <c r="AL34" s="39">
        <f>IF($B34="","",COUNTIF(D34:AH34,"C"))</f>
        <v/>
      </c>
      <c r="AM34" s="39">
        <f>IF($B34="","",COUNTIF(D34:AH34,"M"))</f>
        <v/>
      </c>
      <c r="AN34" s="40">
        <f>IF($B34="","",IF(AI34+AJ34+AK34+AM34=0,"",(AI34+AJ34)/(AI34+AJ34+AK34+AM34)))</f>
        <v/>
      </c>
      <c r="AO34" s="41">
        <f>IF($B34="","",IF('Employés'!D32="","",(AI34+AJ34+AL34)*'Employés'!D32))</f>
        <v/>
      </c>
    </row>
    <row r="35" ht="20" customHeight="1">
      <c r="A35" s="37">
        <f>IF('Employés'!B33="","",'Employés'!A33)</f>
        <v/>
      </c>
      <c r="B35" s="38">
        <f>IF('Employés'!B33="","",'Employés'!B33)</f>
        <v/>
      </c>
      <c r="C35" s="38">
        <f>IF('Employés'!C33="","",'Employés'!C33)</f>
        <v/>
      </c>
      <c r="D35" s="37" t="n"/>
      <c r="E35" s="37" t="n"/>
      <c r="F35" s="37" t="n"/>
      <c r="G35" s="37" t="n"/>
      <c r="H35" s="37" t="n"/>
      <c r="I35" s="37" t="n"/>
      <c r="J35" s="37" t="n"/>
      <c r="K35" s="37" t="n"/>
      <c r="L35" s="37" t="n"/>
      <c r="M35" s="37" t="n"/>
      <c r="N35" s="37" t="n"/>
      <c r="O35" s="37" t="n"/>
      <c r="P35" s="37" t="n"/>
      <c r="Q35" s="37" t="n"/>
      <c r="R35" s="37" t="n"/>
      <c r="S35" s="37" t="n"/>
      <c r="T35" s="37" t="n"/>
      <c r="U35" s="37" t="n"/>
      <c r="V35" s="37" t="n"/>
      <c r="W35" s="37" t="n"/>
      <c r="X35" s="37" t="n"/>
      <c r="Y35" s="37" t="n"/>
      <c r="Z35" s="37" t="n"/>
      <c r="AA35" s="37" t="n"/>
      <c r="AB35" s="37" t="n"/>
      <c r="AC35" s="37" t="n"/>
      <c r="AD35" s="37" t="n"/>
      <c r="AE35" s="37" t="n"/>
      <c r="AF35" s="37" t="n"/>
      <c r="AG35" s="37" t="n"/>
      <c r="AH35" s="37" t="n"/>
      <c r="AI35" s="39">
        <f>IF($B35="","",COUNTIF(D35:AH35,"P"))</f>
        <v/>
      </c>
      <c r="AJ35" s="39">
        <f>IF($B35="","",COUNTIF(D35:AH35,"R"))</f>
        <v/>
      </c>
      <c r="AK35" s="39">
        <f>IF($B35="","",COUNTIF(D35:AH35,"A"))</f>
        <v/>
      </c>
      <c r="AL35" s="39">
        <f>IF($B35="","",COUNTIF(D35:AH35,"C"))</f>
        <v/>
      </c>
      <c r="AM35" s="39">
        <f>IF($B35="","",COUNTIF(D35:AH35,"M"))</f>
        <v/>
      </c>
      <c r="AN35" s="40">
        <f>IF($B35="","",IF(AI35+AJ35+AK35+AM35=0,"",(AI35+AJ35)/(AI35+AJ35+AK35+AM35)))</f>
        <v/>
      </c>
      <c r="AO35" s="41">
        <f>IF($B35="","",IF('Employés'!D33="","",(AI35+AJ35+AL35)*'Employés'!D33))</f>
        <v/>
      </c>
    </row>
    <row r="36" ht="20" customHeight="1">
      <c r="A36" s="37">
        <f>IF('Employés'!B34="","",'Employés'!A34)</f>
        <v/>
      </c>
      <c r="B36" s="38">
        <f>IF('Employés'!B34="","",'Employés'!B34)</f>
        <v/>
      </c>
      <c r="C36" s="38">
        <f>IF('Employés'!C34="","",'Employés'!C34)</f>
        <v/>
      </c>
      <c r="D36" s="37" t="n"/>
      <c r="E36" s="37" t="n"/>
      <c r="F36" s="37" t="n"/>
      <c r="G36" s="37" t="n"/>
      <c r="H36" s="37" t="n"/>
      <c r="I36" s="37" t="n"/>
      <c r="J36" s="37" t="n"/>
      <c r="K36" s="37" t="n"/>
      <c r="L36" s="37" t="n"/>
      <c r="M36" s="37" t="n"/>
      <c r="N36" s="37" t="n"/>
      <c r="O36" s="37" t="n"/>
      <c r="P36" s="37" t="n"/>
      <c r="Q36" s="37" t="n"/>
      <c r="R36" s="37" t="n"/>
      <c r="S36" s="37" t="n"/>
      <c r="T36" s="37" t="n"/>
      <c r="U36" s="37" t="n"/>
      <c r="V36" s="37" t="n"/>
      <c r="W36" s="37" t="n"/>
      <c r="X36" s="37" t="n"/>
      <c r="Y36" s="37" t="n"/>
      <c r="Z36" s="37" t="n"/>
      <c r="AA36" s="37" t="n"/>
      <c r="AB36" s="37" t="n"/>
      <c r="AC36" s="37" t="n"/>
      <c r="AD36" s="37" t="n"/>
      <c r="AE36" s="37" t="n"/>
      <c r="AF36" s="37" t="n"/>
      <c r="AG36" s="37" t="n"/>
      <c r="AH36" s="37" t="n"/>
      <c r="AI36" s="39">
        <f>IF($B36="","",COUNTIF(D36:AH36,"P"))</f>
        <v/>
      </c>
      <c r="AJ36" s="39">
        <f>IF($B36="","",COUNTIF(D36:AH36,"R"))</f>
        <v/>
      </c>
      <c r="AK36" s="39">
        <f>IF($B36="","",COUNTIF(D36:AH36,"A"))</f>
        <v/>
      </c>
      <c r="AL36" s="39">
        <f>IF($B36="","",COUNTIF(D36:AH36,"C"))</f>
        <v/>
      </c>
      <c r="AM36" s="39">
        <f>IF($B36="","",COUNTIF(D36:AH36,"M"))</f>
        <v/>
      </c>
      <c r="AN36" s="40">
        <f>IF($B36="","",IF(AI36+AJ36+AK36+AM36=0,"",(AI36+AJ36)/(AI36+AJ36+AK36+AM36)))</f>
        <v/>
      </c>
      <c r="AO36" s="41">
        <f>IF($B36="","",IF('Employés'!D34="","",(AI36+AJ36+AL36)*'Employés'!D34))</f>
        <v/>
      </c>
    </row>
    <row r="37">
      <c r="A37" s="42" t="n"/>
      <c r="B37" s="42" t="inlineStr">
        <is>
          <t>TOTAL</t>
        </is>
      </c>
      <c r="C37" s="42" t="n"/>
      <c r="D37" s="42" t="n"/>
      <c r="E37" s="42" t="n"/>
      <c r="F37" s="42" t="n"/>
      <c r="G37" s="42" t="n"/>
      <c r="H37" s="42" t="n"/>
      <c r="I37" s="42" t="n"/>
      <c r="J37" s="42" t="n"/>
      <c r="K37" s="42" t="n"/>
      <c r="L37" s="42" t="n"/>
      <c r="M37" s="42" t="n"/>
      <c r="N37" s="42" t="n"/>
      <c r="O37" s="42" t="n"/>
      <c r="P37" s="42" t="n"/>
      <c r="Q37" s="42" t="n"/>
      <c r="R37" s="42" t="n"/>
      <c r="S37" s="42" t="n"/>
      <c r="T37" s="42" t="n"/>
      <c r="U37" s="42" t="n"/>
      <c r="V37" s="42" t="n"/>
      <c r="W37" s="42" t="n"/>
      <c r="X37" s="42" t="n"/>
      <c r="Y37" s="42" t="n"/>
      <c r="Z37" s="42" t="n"/>
      <c r="AA37" s="42" t="n"/>
      <c r="AB37" s="42" t="n"/>
      <c r="AC37" s="42" t="n"/>
      <c r="AD37" s="42" t="n"/>
      <c r="AE37" s="42" t="n"/>
      <c r="AF37" s="42" t="n"/>
      <c r="AG37" s="42" t="n"/>
      <c r="AH37" s="42" t="n"/>
      <c r="AI37" s="42">
        <f>SUM(AI7:AI36)</f>
        <v/>
      </c>
      <c r="AJ37" s="42">
        <f>SUM(AJ7:AJ36)</f>
        <v/>
      </c>
      <c r="AK37" s="42">
        <f>SUM(AK7:AK36)</f>
        <v/>
      </c>
      <c r="AL37" s="42">
        <f>SUM(AL7:AL36)</f>
        <v/>
      </c>
      <c r="AM37" s="42">
        <f>SUM(AM7:AM36)</f>
        <v/>
      </c>
      <c r="AN37" s="42" t="n"/>
      <c r="AO37" s="43">
        <f>SUM(AO7:AO36)</f>
        <v/>
      </c>
    </row>
  </sheetData>
  <mergeCells count="17">
    <mergeCell ref="A5:A6"/>
    <mergeCell ref="A2:AO2"/>
    <mergeCell ref="AI5:AI6"/>
    <mergeCell ref="D3:G3"/>
    <mergeCell ref="S3:V3"/>
    <mergeCell ref="X3:AA3"/>
    <mergeCell ref="AJ5:AJ6"/>
    <mergeCell ref="AK5:AK6"/>
    <mergeCell ref="I3:L3"/>
    <mergeCell ref="AL5:AL6"/>
    <mergeCell ref="AM5:AM6"/>
    <mergeCell ref="AN5:AN6"/>
    <mergeCell ref="A1:AO1"/>
    <mergeCell ref="N3:Q3"/>
    <mergeCell ref="AO5:AO6"/>
    <mergeCell ref="B5:B6"/>
    <mergeCell ref="C5:C6"/>
  </mergeCells>
  <conditionalFormatting sqref="D7:AH36">
    <cfRule type="expression" priority="1" dxfId="0">
      <formula>UPPER(D7)="P"</formula>
    </cfRule>
    <cfRule type="expression" priority="2" dxfId="1">
      <formula>UPPER(D7)="R"</formula>
    </cfRule>
    <cfRule type="expression" priority="3" dxfId="2">
      <formula>UPPER(D7)="A"</formula>
    </cfRule>
    <cfRule type="expression" priority="4" dxfId="3">
      <formula>UPPER(D7)="C"</formula>
    </cfRule>
    <cfRule type="expression" priority="5" dxfId="4">
      <formula>UPPER(D7)="M"</formula>
    </cfRule>
    <cfRule type="expression" priority="6" dxfId="5">
      <formula>OR(D$6="Sam",D$6="Dim",D$5="")</formula>
    </cfRule>
  </conditionalFormatting>
  <dataValidations count="1">
    <dataValidation sqref="D7:AH36" showDropDown="0" showInputMessage="0" showErrorMessage="1" allowBlank="1" errorTitle="Code inconnu" error="Utilisez P, R, A, C ou M." type="list">
      <formula1>"P,R,A,C,M"</formula1>
    </dataValidation>
  </dataValidations>
  <pageMargins left="0.75" right="0.75" top="1" bottom="1" header="0.5" footer="0.5"/>
  <pageSetup orientation="landscape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AO37"/>
  <sheetViews>
    <sheetView zoomScale="90" workbookViewId="0">
      <pane xSplit="3" ySplit="6" topLeftCell="D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24" customWidth="1" min="2" max="2"/>
    <col width="14" customWidth="1" min="3" max="3"/>
    <col width="4.6" customWidth="1" min="4" max="4"/>
    <col width="4.6" customWidth="1" min="5" max="5"/>
    <col width="4.6" customWidth="1" min="6" max="6"/>
    <col width="4.6" customWidth="1" min="7" max="7"/>
    <col width="4.6" customWidth="1" min="8" max="8"/>
    <col width="4.6" customWidth="1" min="9" max="9"/>
    <col width="4.6" customWidth="1" min="10" max="10"/>
    <col width="4.6" customWidth="1" min="11" max="11"/>
    <col width="4.6" customWidth="1" min="12" max="12"/>
    <col width="4.6" customWidth="1" min="13" max="13"/>
    <col width="4.6" customWidth="1" min="14" max="14"/>
    <col width="4.6" customWidth="1" min="15" max="15"/>
    <col width="4.6" customWidth="1" min="16" max="16"/>
    <col width="4.6" customWidth="1" min="17" max="17"/>
    <col width="4.6" customWidth="1" min="18" max="18"/>
    <col width="4.6" customWidth="1" min="19" max="19"/>
    <col width="4.6" customWidth="1" min="20" max="20"/>
    <col width="4.6" customWidth="1" min="21" max="21"/>
    <col width="4.6" customWidth="1" min="22" max="22"/>
    <col width="4.6" customWidth="1" min="23" max="23"/>
    <col width="4.6" customWidth="1" min="24" max="24"/>
    <col width="4.6" customWidth="1" min="25" max="25"/>
    <col width="4.6" customWidth="1" min="26" max="26"/>
    <col width="4.6" customWidth="1" min="27" max="27"/>
    <col width="4.6" customWidth="1" min="28" max="28"/>
    <col width="4.6" customWidth="1" min="29" max="29"/>
    <col width="4.6" customWidth="1" min="30" max="30"/>
    <col width="4.6" customWidth="1" min="31" max="31"/>
    <col width="4.6" customWidth="1" min="32" max="32"/>
    <col width="4.6" customWidth="1" min="33" max="33"/>
    <col width="4.6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13" customWidth="1" min="40" max="40"/>
    <col width="13" customWidth="1" min="41" max="41"/>
  </cols>
  <sheetData>
    <row r="1" ht="34" customHeight="1">
      <c r="A1" s="1">
        <f>'Paramètres'!$B$4&amp;" · Pointage de Juillet "&amp;'Paramètres'!$B$5</f>
        <v/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</row>
    <row r="2" ht="20" customHeight="1">
      <c r="A2" s="3" t="inlineStr">
        <is>
          <t>Outil offert par Logia (DWTS) · Un logiciel sur mesure pour votre entreprise ? WhatsApp 062 67 14 45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2" t="n"/>
      <c r="AL2" s="2" t="n"/>
      <c r="AM2" s="2" t="n"/>
      <c r="AN2" s="2" t="n"/>
      <c r="AO2" s="2" t="n"/>
    </row>
    <row r="3">
      <c r="A3" s="6" t="inlineStr">
        <is>
          <t>Codes :</t>
        </is>
      </c>
      <c r="D3" s="30" t="inlineStr">
        <is>
          <t>P = Présent</t>
        </is>
      </c>
      <c r="I3" s="31" t="inlineStr">
        <is>
          <t>R = En retard</t>
        </is>
      </c>
      <c r="N3" s="32" t="inlineStr">
        <is>
          <t>A = Absent</t>
        </is>
      </c>
      <c r="S3" s="33" t="inlineStr">
        <is>
          <t>C = Congé</t>
        </is>
      </c>
      <c r="X3" s="34" t="inlineStr">
        <is>
          <t>M = Malade</t>
        </is>
      </c>
    </row>
    <row r="5" ht="22" customHeight="1">
      <c r="A5" s="35" t="inlineStr">
        <is>
          <t>ID</t>
        </is>
      </c>
      <c r="B5" s="35" t="inlineStr">
        <is>
          <t>Nom</t>
        </is>
      </c>
      <c r="C5" s="35" t="inlineStr">
        <is>
          <t>Poste</t>
        </is>
      </c>
      <c r="D5" s="35">
        <f>IF(MONTH(DATE('Paramètres'!$B$5,7,1))=7,1,"")</f>
        <v/>
      </c>
      <c r="E5" s="35">
        <f>IF(MONTH(DATE('Paramètres'!$B$5,7,2))=7,2,"")</f>
        <v/>
      </c>
      <c r="F5" s="35">
        <f>IF(MONTH(DATE('Paramètres'!$B$5,7,3))=7,3,"")</f>
        <v/>
      </c>
      <c r="G5" s="35">
        <f>IF(MONTH(DATE('Paramètres'!$B$5,7,4))=7,4,"")</f>
        <v/>
      </c>
      <c r="H5" s="35">
        <f>IF(MONTH(DATE('Paramètres'!$B$5,7,5))=7,5,"")</f>
        <v/>
      </c>
      <c r="I5" s="35">
        <f>IF(MONTH(DATE('Paramètres'!$B$5,7,6))=7,6,"")</f>
        <v/>
      </c>
      <c r="J5" s="35">
        <f>IF(MONTH(DATE('Paramètres'!$B$5,7,7))=7,7,"")</f>
        <v/>
      </c>
      <c r="K5" s="35">
        <f>IF(MONTH(DATE('Paramètres'!$B$5,7,8))=7,8,"")</f>
        <v/>
      </c>
      <c r="L5" s="35">
        <f>IF(MONTH(DATE('Paramètres'!$B$5,7,9))=7,9,"")</f>
        <v/>
      </c>
      <c r="M5" s="35">
        <f>IF(MONTH(DATE('Paramètres'!$B$5,7,10))=7,10,"")</f>
        <v/>
      </c>
      <c r="N5" s="35">
        <f>IF(MONTH(DATE('Paramètres'!$B$5,7,11))=7,11,"")</f>
        <v/>
      </c>
      <c r="O5" s="35">
        <f>IF(MONTH(DATE('Paramètres'!$B$5,7,12))=7,12,"")</f>
        <v/>
      </c>
      <c r="P5" s="35">
        <f>IF(MONTH(DATE('Paramètres'!$B$5,7,13))=7,13,"")</f>
        <v/>
      </c>
      <c r="Q5" s="35">
        <f>IF(MONTH(DATE('Paramètres'!$B$5,7,14))=7,14,"")</f>
        <v/>
      </c>
      <c r="R5" s="35">
        <f>IF(MONTH(DATE('Paramètres'!$B$5,7,15))=7,15,"")</f>
        <v/>
      </c>
      <c r="S5" s="35">
        <f>IF(MONTH(DATE('Paramètres'!$B$5,7,16))=7,16,"")</f>
        <v/>
      </c>
      <c r="T5" s="35">
        <f>IF(MONTH(DATE('Paramètres'!$B$5,7,17))=7,17,"")</f>
        <v/>
      </c>
      <c r="U5" s="35">
        <f>IF(MONTH(DATE('Paramètres'!$B$5,7,18))=7,18,"")</f>
        <v/>
      </c>
      <c r="V5" s="35">
        <f>IF(MONTH(DATE('Paramètres'!$B$5,7,19))=7,19,"")</f>
        <v/>
      </c>
      <c r="W5" s="35">
        <f>IF(MONTH(DATE('Paramètres'!$B$5,7,20))=7,20,"")</f>
        <v/>
      </c>
      <c r="X5" s="35">
        <f>IF(MONTH(DATE('Paramètres'!$B$5,7,21))=7,21,"")</f>
        <v/>
      </c>
      <c r="Y5" s="35">
        <f>IF(MONTH(DATE('Paramètres'!$B$5,7,22))=7,22,"")</f>
        <v/>
      </c>
      <c r="Z5" s="35">
        <f>IF(MONTH(DATE('Paramètres'!$B$5,7,23))=7,23,"")</f>
        <v/>
      </c>
      <c r="AA5" s="35">
        <f>IF(MONTH(DATE('Paramètres'!$B$5,7,24))=7,24,"")</f>
        <v/>
      </c>
      <c r="AB5" s="35">
        <f>IF(MONTH(DATE('Paramètres'!$B$5,7,25))=7,25,"")</f>
        <v/>
      </c>
      <c r="AC5" s="35">
        <f>IF(MONTH(DATE('Paramètres'!$B$5,7,26))=7,26,"")</f>
        <v/>
      </c>
      <c r="AD5" s="35">
        <f>IF(MONTH(DATE('Paramètres'!$B$5,7,27))=7,27,"")</f>
        <v/>
      </c>
      <c r="AE5" s="35">
        <f>IF(MONTH(DATE('Paramètres'!$B$5,7,28))=7,28,"")</f>
        <v/>
      </c>
      <c r="AF5" s="35">
        <f>IF(MONTH(DATE('Paramètres'!$B$5,7,29))=7,29,"")</f>
        <v/>
      </c>
      <c r="AG5" s="35">
        <f>IF(MONTH(DATE('Paramètres'!$B$5,7,30))=7,30,"")</f>
        <v/>
      </c>
      <c r="AH5" s="35">
        <f>IF(MONTH(DATE('Paramètres'!$B$5,7,31))=7,31,"")</f>
        <v/>
      </c>
      <c r="AI5" s="36" t="inlineStr">
        <is>
          <t>Présent</t>
        </is>
      </c>
      <c r="AJ5" s="36" t="inlineStr">
        <is>
          <t>Retard</t>
        </is>
      </c>
      <c r="AK5" s="36" t="inlineStr">
        <is>
          <t>Absent</t>
        </is>
      </c>
      <c r="AL5" s="36" t="inlineStr">
        <is>
          <t>Congé</t>
        </is>
      </c>
      <c r="AM5" s="36" t="inlineStr">
        <is>
          <t>Malade</t>
        </is>
      </c>
      <c r="AN5" s="36" t="inlineStr">
        <is>
          <t>Taux de présence</t>
        </is>
      </c>
      <c r="AO5" s="36" t="inlineStr">
        <is>
          <t>Salaire dû</t>
        </is>
      </c>
    </row>
    <row r="6" ht="22" customHeight="1">
      <c r="A6" s="35" t="n"/>
      <c r="B6" s="35" t="n"/>
      <c r="C6" s="35" t="n"/>
      <c r="D6" s="35">
        <f>IF(D5="","",CHOOSE(WEEKDAY(DATE('Paramètres'!$B$5,7,1),2),"Lun","Mar","Mer","Jeu","Ven","Sam","Dim"))</f>
        <v/>
      </c>
      <c r="E6" s="35">
        <f>IF(E5="","",CHOOSE(WEEKDAY(DATE('Paramètres'!$B$5,7,2),2),"Lun","Mar","Mer","Jeu","Ven","Sam","Dim"))</f>
        <v/>
      </c>
      <c r="F6" s="35">
        <f>IF(F5="","",CHOOSE(WEEKDAY(DATE('Paramètres'!$B$5,7,3),2),"Lun","Mar","Mer","Jeu","Ven","Sam","Dim"))</f>
        <v/>
      </c>
      <c r="G6" s="35">
        <f>IF(G5="","",CHOOSE(WEEKDAY(DATE('Paramètres'!$B$5,7,4),2),"Lun","Mar","Mer","Jeu","Ven","Sam","Dim"))</f>
        <v/>
      </c>
      <c r="H6" s="35">
        <f>IF(H5="","",CHOOSE(WEEKDAY(DATE('Paramètres'!$B$5,7,5),2),"Lun","Mar","Mer","Jeu","Ven","Sam","Dim"))</f>
        <v/>
      </c>
      <c r="I6" s="35">
        <f>IF(I5="","",CHOOSE(WEEKDAY(DATE('Paramètres'!$B$5,7,6),2),"Lun","Mar","Mer","Jeu","Ven","Sam","Dim"))</f>
        <v/>
      </c>
      <c r="J6" s="35">
        <f>IF(J5="","",CHOOSE(WEEKDAY(DATE('Paramètres'!$B$5,7,7),2),"Lun","Mar","Mer","Jeu","Ven","Sam","Dim"))</f>
        <v/>
      </c>
      <c r="K6" s="35">
        <f>IF(K5="","",CHOOSE(WEEKDAY(DATE('Paramètres'!$B$5,7,8),2),"Lun","Mar","Mer","Jeu","Ven","Sam","Dim"))</f>
        <v/>
      </c>
      <c r="L6" s="35">
        <f>IF(L5="","",CHOOSE(WEEKDAY(DATE('Paramètres'!$B$5,7,9),2),"Lun","Mar","Mer","Jeu","Ven","Sam","Dim"))</f>
        <v/>
      </c>
      <c r="M6" s="35">
        <f>IF(M5="","",CHOOSE(WEEKDAY(DATE('Paramètres'!$B$5,7,10),2),"Lun","Mar","Mer","Jeu","Ven","Sam","Dim"))</f>
        <v/>
      </c>
      <c r="N6" s="35">
        <f>IF(N5="","",CHOOSE(WEEKDAY(DATE('Paramètres'!$B$5,7,11),2),"Lun","Mar","Mer","Jeu","Ven","Sam","Dim"))</f>
        <v/>
      </c>
      <c r="O6" s="35">
        <f>IF(O5="","",CHOOSE(WEEKDAY(DATE('Paramètres'!$B$5,7,12),2),"Lun","Mar","Mer","Jeu","Ven","Sam","Dim"))</f>
        <v/>
      </c>
      <c r="P6" s="35">
        <f>IF(P5="","",CHOOSE(WEEKDAY(DATE('Paramètres'!$B$5,7,13),2),"Lun","Mar","Mer","Jeu","Ven","Sam","Dim"))</f>
        <v/>
      </c>
      <c r="Q6" s="35">
        <f>IF(Q5="","",CHOOSE(WEEKDAY(DATE('Paramètres'!$B$5,7,14),2),"Lun","Mar","Mer","Jeu","Ven","Sam","Dim"))</f>
        <v/>
      </c>
      <c r="R6" s="35">
        <f>IF(R5="","",CHOOSE(WEEKDAY(DATE('Paramètres'!$B$5,7,15),2),"Lun","Mar","Mer","Jeu","Ven","Sam","Dim"))</f>
        <v/>
      </c>
      <c r="S6" s="35">
        <f>IF(S5="","",CHOOSE(WEEKDAY(DATE('Paramètres'!$B$5,7,16),2),"Lun","Mar","Mer","Jeu","Ven","Sam","Dim"))</f>
        <v/>
      </c>
      <c r="T6" s="35">
        <f>IF(T5="","",CHOOSE(WEEKDAY(DATE('Paramètres'!$B$5,7,17),2),"Lun","Mar","Mer","Jeu","Ven","Sam","Dim"))</f>
        <v/>
      </c>
      <c r="U6" s="35">
        <f>IF(U5="","",CHOOSE(WEEKDAY(DATE('Paramètres'!$B$5,7,18),2),"Lun","Mar","Mer","Jeu","Ven","Sam","Dim"))</f>
        <v/>
      </c>
      <c r="V6" s="35">
        <f>IF(V5="","",CHOOSE(WEEKDAY(DATE('Paramètres'!$B$5,7,19),2),"Lun","Mar","Mer","Jeu","Ven","Sam","Dim"))</f>
        <v/>
      </c>
      <c r="W6" s="35">
        <f>IF(W5="","",CHOOSE(WEEKDAY(DATE('Paramètres'!$B$5,7,20),2),"Lun","Mar","Mer","Jeu","Ven","Sam","Dim"))</f>
        <v/>
      </c>
      <c r="X6" s="35">
        <f>IF(X5="","",CHOOSE(WEEKDAY(DATE('Paramètres'!$B$5,7,21),2),"Lun","Mar","Mer","Jeu","Ven","Sam","Dim"))</f>
        <v/>
      </c>
      <c r="Y6" s="35">
        <f>IF(Y5="","",CHOOSE(WEEKDAY(DATE('Paramètres'!$B$5,7,22),2),"Lun","Mar","Mer","Jeu","Ven","Sam","Dim"))</f>
        <v/>
      </c>
      <c r="Z6" s="35">
        <f>IF(Z5="","",CHOOSE(WEEKDAY(DATE('Paramètres'!$B$5,7,23),2),"Lun","Mar","Mer","Jeu","Ven","Sam","Dim"))</f>
        <v/>
      </c>
      <c r="AA6" s="35">
        <f>IF(AA5="","",CHOOSE(WEEKDAY(DATE('Paramètres'!$B$5,7,24),2),"Lun","Mar","Mer","Jeu","Ven","Sam","Dim"))</f>
        <v/>
      </c>
      <c r="AB6" s="35">
        <f>IF(AB5="","",CHOOSE(WEEKDAY(DATE('Paramètres'!$B$5,7,25),2),"Lun","Mar","Mer","Jeu","Ven","Sam","Dim"))</f>
        <v/>
      </c>
      <c r="AC6" s="35">
        <f>IF(AC5="","",CHOOSE(WEEKDAY(DATE('Paramètres'!$B$5,7,26),2),"Lun","Mar","Mer","Jeu","Ven","Sam","Dim"))</f>
        <v/>
      </c>
      <c r="AD6" s="35">
        <f>IF(AD5="","",CHOOSE(WEEKDAY(DATE('Paramètres'!$B$5,7,27),2),"Lun","Mar","Mer","Jeu","Ven","Sam","Dim"))</f>
        <v/>
      </c>
      <c r="AE6" s="35">
        <f>IF(AE5="","",CHOOSE(WEEKDAY(DATE('Paramètres'!$B$5,7,28),2),"Lun","Mar","Mer","Jeu","Ven","Sam","Dim"))</f>
        <v/>
      </c>
      <c r="AF6" s="35">
        <f>IF(AF5="","",CHOOSE(WEEKDAY(DATE('Paramètres'!$B$5,7,29),2),"Lun","Mar","Mer","Jeu","Ven","Sam","Dim"))</f>
        <v/>
      </c>
      <c r="AG6" s="35">
        <f>IF(AG5="","",CHOOSE(WEEKDAY(DATE('Paramètres'!$B$5,7,30),2),"Lun","Mar","Mer","Jeu","Ven","Sam","Dim"))</f>
        <v/>
      </c>
      <c r="AH6" s="35">
        <f>IF(AH5="","",CHOOSE(WEEKDAY(DATE('Paramètres'!$B$5,7,31),2),"Lun","Mar","Mer","Jeu","Ven","Sam","Dim"))</f>
        <v/>
      </c>
      <c r="AI6" s="36" t="n"/>
      <c r="AJ6" s="36" t="n"/>
      <c r="AK6" s="36" t="n"/>
      <c r="AL6" s="36" t="n"/>
      <c r="AM6" s="36" t="n"/>
      <c r="AN6" s="36" t="n"/>
      <c r="AO6" s="36" t="n"/>
    </row>
    <row r="7" ht="20" customHeight="1">
      <c r="A7" s="37">
        <f>IF('Employés'!B5="","",'Employés'!A5)</f>
        <v/>
      </c>
      <c r="B7" s="38">
        <f>IF('Employés'!B5="","",'Employés'!B5)</f>
        <v/>
      </c>
      <c r="C7" s="38">
        <f>IF('Employés'!C5="","",'Employés'!C5)</f>
        <v/>
      </c>
      <c r="D7" s="37" t="n"/>
      <c r="E7" s="37" t="n"/>
      <c r="F7" s="37" t="n"/>
      <c r="G7" s="37" t="n"/>
      <c r="H7" s="37" t="n"/>
      <c r="I7" s="37" t="n"/>
      <c r="J7" s="37" t="n"/>
      <c r="K7" s="37" t="n"/>
      <c r="L7" s="37" t="n"/>
      <c r="M7" s="37" t="n"/>
      <c r="N7" s="37" t="n"/>
      <c r="O7" s="37" t="n"/>
      <c r="P7" s="37" t="n"/>
      <c r="Q7" s="37" t="n"/>
      <c r="R7" s="37" t="n"/>
      <c r="S7" s="37" t="n"/>
      <c r="T7" s="37" t="n"/>
      <c r="U7" s="37" t="n"/>
      <c r="V7" s="37" t="n"/>
      <c r="W7" s="37" t="n"/>
      <c r="X7" s="37" t="n"/>
      <c r="Y7" s="37" t="n"/>
      <c r="Z7" s="37" t="n"/>
      <c r="AA7" s="37" t="n"/>
      <c r="AB7" s="37" t="n"/>
      <c r="AC7" s="37" t="n"/>
      <c r="AD7" s="37" t="n"/>
      <c r="AE7" s="37" t="n"/>
      <c r="AF7" s="37" t="n"/>
      <c r="AG7" s="37" t="n"/>
      <c r="AH7" s="37" t="n"/>
      <c r="AI7" s="39">
        <f>IF($B7="","",COUNTIF(D7:AH7,"P"))</f>
        <v/>
      </c>
      <c r="AJ7" s="39">
        <f>IF($B7="","",COUNTIF(D7:AH7,"R"))</f>
        <v/>
      </c>
      <c r="AK7" s="39">
        <f>IF($B7="","",COUNTIF(D7:AH7,"A"))</f>
        <v/>
      </c>
      <c r="AL7" s="39">
        <f>IF($B7="","",COUNTIF(D7:AH7,"C"))</f>
        <v/>
      </c>
      <c r="AM7" s="39">
        <f>IF($B7="","",COUNTIF(D7:AH7,"M"))</f>
        <v/>
      </c>
      <c r="AN7" s="40">
        <f>IF($B7="","",IF(AI7+AJ7+AK7+AM7=0,"",(AI7+AJ7)/(AI7+AJ7+AK7+AM7)))</f>
        <v/>
      </c>
      <c r="AO7" s="41">
        <f>IF($B7="","",IF('Employés'!D5="","",(AI7+AJ7+AL7)*'Employés'!D5))</f>
        <v/>
      </c>
    </row>
    <row r="8" ht="20" customHeight="1">
      <c r="A8" s="37">
        <f>IF('Employés'!B6="","",'Employés'!A6)</f>
        <v/>
      </c>
      <c r="B8" s="38">
        <f>IF('Employés'!B6="","",'Employés'!B6)</f>
        <v/>
      </c>
      <c r="C8" s="38">
        <f>IF('Employés'!C6="","",'Employés'!C6)</f>
        <v/>
      </c>
      <c r="D8" s="37" t="n"/>
      <c r="E8" s="37" t="n"/>
      <c r="F8" s="37" t="n"/>
      <c r="G8" s="37" t="n"/>
      <c r="H8" s="37" t="n"/>
      <c r="I8" s="37" t="n"/>
      <c r="J8" s="37" t="n"/>
      <c r="K8" s="37" t="n"/>
      <c r="L8" s="37" t="n"/>
      <c r="M8" s="37" t="n"/>
      <c r="N8" s="37" t="n"/>
      <c r="O8" s="37" t="n"/>
      <c r="P8" s="37" t="n"/>
      <c r="Q8" s="37" t="n"/>
      <c r="R8" s="37" t="n"/>
      <c r="S8" s="37" t="n"/>
      <c r="T8" s="37" t="n"/>
      <c r="U8" s="37" t="n"/>
      <c r="V8" s="37" t="n"/>
      <c r="W8" s="37" t="n"/>
      <c r="X8" s="37" t="n"/>
      <c r="Y8" s="37" t="n"/>
      <c r="Z8" s="37" t="n"/>
      <c r="AA8" s="37" t="n"/>
      <c r="AB8" s="37" t="n"/>
      <c r="AC8" s="37" t="n"/>
      <c r="AD8" s="37" t="n"/>
      <c r="AE8" s="37" t="n"/>
      <c r="AF8" s="37" t="n"/>
      <c r="AG8" s="37" t="n"/>
      <c r="AH8" s="37" t="n"/>
      <c r="AI8" s="39">
        <f>IF($B8="","",COUNTIF(D8:AH8,"P"))</f>
        <v/>
      </c>
      <c r="AJ8" s="39">
        <f>IF($B8="","",COUNTIF(D8:AH8,"R"))</f>
        <v/>
      </c>
      <c r="AK8" s="39">
        <f>IF($B8="","",COUNTIF(D8:AH8,"A"))</f>
        <v/>
      </c>
      <c r="AL8" s="39">
        <f>IF($B8="","",COUNTIF(D8:AH8,"C"))</f>
        <v/>
      </c>
      <c r="AM8" s="39">
        <f>IF($B8="","",COUNTIF(D8:AH8,"M"))</f>
        <v/>
      </c>
      <c r="AN8" s="40">
        <f>IF($B8="","",IF(AI8+AJ8+AK8+AM8=0,"",(AI8+AJ8)/(AI8+AJ8+AK8+AM8)))</f>
        <v/>
      </c>
      <c r="AO8" s="41">
        <f>IF($B8="","",IF('Employés'!D6="","",(AI8+AJ8+AL8)*'Employés'!D6))</f>
        <v/>
      </c>
    </row>
    <row r="9" ht="20" customHeight="1">
      <c r="A9" s="37">
        <f>IF('Employés'!B7="","",'Employés'!A7)</f>
        <v/>
      </c>
      <c r="B9" s="38">
        <f>IF('Employés'!B7="","",'Employés'!B7)</f>
        <v/>
      </c>
      <c r="C9" s="38">
        <f>IF('Employés'!C7="","",'Employés'!C7)</f>
        <v/>
      </c>
      <c r="D9" s="37" t="n"/>
      <c r="E9" s="37" t="n"/>
      <c r="F9" s="37" t="n"/>
      <c r="G9" s="37" t="n"/>
      <c r="H9" s="37" t="n"/>
      <c r="I9" s="37" t="n"/>
      <c r="J9" s="37" t="n"/>
      <c r="K9" s="37" t="n"/>
      <c r="L9" s="37" t="n"/>
      <c r="M9" s="37" t="n"/>
      <c r="N9" s="37" t="n"/>
      <c r="O9" s="37" t="n"/>
      <c r="P9" s="37" t="n"/>
      <c r="Q9" s="37" t="n"/>
      <c r="R9" s="37" t="n"/>
      <c r="S9" s="37" t="n"/>
      <c r="T9" s="37" t="n"/>
      <c r="U9" s="37" t="n"/>
      <c r="V9" s="37" t="n"/>
      <c r="W9" s="37" t="n"/>
      <c r="X9" s="37" t="n"/>
      <c r="Y9" s="37" t="n"/>
      <c r="Z9" s="37" t="n"/>
      <c r="AA9" s="37" t="n"/>
      <c r="AB9" s="37" t="n"/>
      <c r="AC9" s="37" t="n"/>
      <c r="AD9" s="37" t="n"/>
      <c r="AE9" s="37" t="n"/>
      <c r="AF9" s="37" t="n"/>
      <c r="AG9" s="37" t="n"/>
      <c r="AH9" s="37" t="n"/>
      <c r="AI9" s="39">
        <f>IF($B9="","",COUNTIF(D9:AH9,"P"))</f>
        <v/>
      </c>
      <c r="AJ9" s="39">
        <f>IF($B9="","",COUNTIF(D9:AH9,"R"))</f>
        <v/>
      </c>
      <c r="AK9" s="39">
        <f>IF($B9="","",COUNTIF(D9:AH9,"A"))</f>
        <v/>
      </c>
      <c r="AL9" s="39">
        <f>IF($B9="","",COUNTIF(D9:AH9,"C"))</f>
        <v/>
      </c>
      <c r="AM9" s="39">
        <f>IF($B9="","",COUNTIF(D9:AH9,"M"))</f>
        <v/>
      </c>
      <c r="AN9" s="40">
        <f>IF($B9="","",IF(AI9+AJ9+AK9+AM9=0,"",(AI9+AJ9)/(AI9+AJ9+AK9+AM9)))</f>
        <v/>
      </c>
      <c r="AO9" s="41">
        <f>IF($B9="","",IF('Employés'!D7="","",(AI9+AJ9+AL9)*'Employés'!D7))</f>
        <v/>
      </c>
    </row>
    <row r="10" ht="20" customHeight="1">
      <c r="A10" s="37">
        <f>IF('Employés'!B8="","",'Employés'!A8)</f>
        <v/>
      </c>
      <c r="B10" s="38">
        <f>IF('Employés'!B8="","",'Employés'!B8)</f>
        <v/>
      </c>
      <c r="C10" s="38">
        <f>IF('Employés'!C8="","",'Employés'!C8)</f>
        <v/>
      </c>
      <c r="D10" s="37" t="n"/>
      <c r="E10" s="37" t="n"/>
      <c r="F10" s="37" t="n"/>
      <c r="G10" s="37" t="n"/>
      <c r="H10" s="37" t="n"/>
      <c r="I10" s="37" t="n"/>
      <c r="J10" s="37" t="n"/>
      <c r="K10" s="37" t="n"/>
      <c r="L10" s="37" t="n"/>
      <c r="M10" s="37" t="n"/>
      <c r="N10" s="37" t="n"/>
      <c r="O10" s="37" t="n"/>
      <c r="P10" s="37" t="n"/>
      <c r="Q10" s="37" t="n"/>
      <c r="R10" s="37" t="n"/>
      <c r="S10" s="37" t="n"/>
      <c r="T10" s="37" t="n"/>
      <c r="U10" s="37" t="n"/>
      <c r="V10" s="37" t="n"/>
      <c r="W10" s="37" t="n"/>
      <c r="X10" s="37" t="n"/>
      <c r="Y10" s="37" t="n"/>
      <c r="Z10" s="37" t="n"/>
      <c r="AA10" s="37" t="n"/>
      <c r="AB10" s="37" t="n"/>
      <c r="AC10" s="37" t="n"/>
      <c r="AD10" s="37" t="n"/>
      <c r="AE10" s="37" t="n"/>
      <c r="AF10" s="37" t="n"/>
      <c r="AG10" s="37" t="n"/>
      <c r="AH10" s="37" t="n"/>
      <c r="AI10" s="39">
        <f>IF($B10="","",COUNTIF(D10:AH10,"P"))</f>
        <v/>
      </c>
      <c r="AJ10" s="39">
        <f>IF($B10="","",COUNTIF(D10:AH10,"R"))</f>
        <v/>
      </c>
      <c r="AK10" s="39">
        <f>IF($B10="","",COUNTIF(D10:AH10,"A"))</f>
        <v/>
      </c>
      <c r="AL10" s="39">
        <f>IF($B10="","",COUNTIF(D10:AH10,"C"))</f>
        <v/>
      </c>
      <c r="AM10" s="39">
        <f>IF($B10="","",COUNTIF(D10:AH10,"M"))</f>
        <v/>
      </c>
      <c r="AN10" s="40">
        <f>IF($B10="","",IF(AI10+AJ10+AK10+AM10=0,"",(AI10+AJ10)/(AI10+AJ10+AK10+AM10)))</f>
        <v/>
      </c>
      <c r="AO10" s="41">
        <f>IF($B10="","",IF('Employés'!D8="","",(AI10+AJ10+AL10)*'Employés'!D8))</f>
        <v/>
      </c>
    </row>
    <row r="11" ht="20" customHeight="1">
      <c r="A11" s="37">
        <f>IF('Employés'!B9="","",'Employés'!A9)</f>
        <v/>
      </c>
      <c r="B11" s="38">
        <f>IF('Employés'!B9="","",'Employés'!B9)</f>
        <v/>
      </c>
      <c r="C11" s="38">
        <f>IF('Employés'!C9="","",'Employés'!C9)</f>
        <v/>
      </c>
      <c r="D11" s="37" t="n"/>
      <c r="E11" s="37" t="n"/>
      <c r="F11" s="37" t="n"/>
      <c r="G11" s="37" t="n"/>
      <c r="H11" s="37" t="n"/>
      <c r="I11" s="37" t="n"/>
      <c r="J11" s="37" t="n"/>
      <c r="K11" s="37" t="n"/>
      <c r="L11" s="37" t="n"/>
      <c r="M11" s="37" t="n"/>
      <c r="N11" s="37" t="n"/>
      <c r="O11" s="37" t="n"/>
      <c r="P11" s="37" t="n"/>
      <c r="Q11" s="37" t="n"/>
      <c r="R11" s="37" t="n"/>
      <c r="S11" s="37" t="n"/>
      <c r="T11" s="37" t="n"/>
      <c r="U11" s="37" t="n"/>
      <c r="V11" s="37" t="n"/>
      <c r="W11" s="37" t="n"/>
      <c r="X11" s="37" t="n"/>
      <c r="Y11" s="37" t="n"/>
      <c r="Z11" s="37" t="n"/>
      <c r="AA11" s="37" t="n"/>
      <c r="AB11" s="37" t="n"/>
      <c r="AC11" s="37" t="n"/>
      <c r="AD11" s="37" t="n"/>
      <c r="AE11" s="37" t="n"/>
      <c r="AF11" s="37" t="n"/>
      <c r="AG11" s="37" t="n"/>
      <c r="AH11" s="37" t="n"/>
      <c r="AI11" s="39">
        <f>IF($B11="","",COUNTIF(D11:AH11,"P"))</f>
        <v/>
      </c>
      <c r="AJ11" s="39">
        <f>IF($B11="","",COUNTIF(D11:AH11,"R"))</f>
        <v/>
      </c>
      <c r="AK11" s="39">
        <f>IF($B11="","",COUNTIF(D11:AH11,"A"))</f>
        <v/>
      </c>
      <c r="AL11" s="39">
        <f>IF($B11="","",COUNTIF(D11:AH11,"C"))</f>
        <v/>
      </c>
      <c r="AM11" s="39">
        <f>IF($B11="","",COUNTIF(D11:AH11,"M"))</f>
        <v/>
      </c>
      <c r="AN11" s="40">
        <f>IF($B11="","",IF(AI11+AJ11+AK11+AM11=0,"",(AI11+AJ11)/(AI11+AJ11+AK11+AM11)))</f>
        <v/>
      </c>
      <c r="AO11" s="41">
        <f>IF($B11="","",IF('Employés'!D9="","",(AI11+AJ11+AL11)*'Employés'!D9))</f>
        <v/>
      </c>
    </row>
    <row r="12" ht="20" customHeight="1">
      <c r="A12" s="37">
        <f>IF('Employés'!B10="","",'Employés'!A10)</f>
        <v/>
      </c>
      <c r="B12" s="38">
        <f>IF('Employés'!B10="","",'Employés'!B10)</f>
        <v/>
      </c>
      <c r="C12" s="38">
        <f>IF('Employés'!C10="","",'Employés'!C10)</f>
        <v/>
      </c>
      <c r="D12" s="37" t="n"/>
      <c r="E12" s="37" t="n"/>
      <c r="F12" s="37" t="n"/>
      <c r="G12" s="37" t="n"/>
      <c r="H12" s="37" t="n"/>
      <c r="I12" s="37" t="n"/>
      <c r="J12" s="37" t="n"/>
      <c r="K12" s="37" t="n"/>
      <c r="L12" s="37" t="n"/>
      <c r="M12" s="37" t="n"/>
      <c r="N12" s="37" t="n"/>
      <c r="O12" s="37" t="n"/>
      <c r="P12" s="37" t="n"/>
      <c r="Q12" s="37" t="n"/>
      <c r="R12" s="37" t="n"/>
      <c r="S12" s="37" t="n"/>
      <c r="T12" s="37" t="n"/>
      <c r="U12" s="37" t="n"/>
      <c r="V12" s="37" t="n"/>
      <c r="W12" s="37" t="n"/>
      <c r="X12" s="37" t="n"/>
      <c r="Y12" s="37" t="n"/>
      <c r="Z12" s="37" t="n"/>
      <c r="AA12" s="37" t="n"/>
      <c r="AB12" s="37" t="n"/>
      <c r="AC12" s="37" t="n"/>
      <c r="AD12" s="37" t="n"/>
      <c r="AE12" s="37" t="n"/>
      <c r="AF12" s="37" t="n"/>
      <c r="AG12" s="37" t="n"/>
      <c r="AH12" s="37" t="n"/>
      <c r="AI12" s="39">
        <f>IF($B12="","",COUNTIF(D12:AH12,"P"))</f>
        <v/>
      </c>
      <c r="AJ12" s="39">
        <f>IF($B12="","",COUNTIF(D12:AH12,"R"))</f>
        <v/>
      </c>
      <c r="AK12" s="39">
        <f>IF($B12="","",COUNTIF(D12:AH12,"A"))</f>
        <v/>
      </c>
      <c r="AL12" s="39">
        <f>IF($B12="","",COUNTIF(D12:AH12,"C"))</f>
        <v/>
      </c>
      <c r="AM12" s="39">
        <f>IF($B12="","",COUNTIF(D12:AH12,"M"))</f>
        <v/>
      </c>
      <c r="AN12" s="40">
        <f>IF($B12="","",IF(AI12+AJ12+AK12+AM12=0,"",(AI12+AJ12)/(AI12+AJ12+AK12+AM12)))</f>
        <v/>
      </c>
      <c r="AO12" s="41">
        <f>IF($B12="","",IF('Employés'!D10="","",(AI12+AJ12+AL12)*'Employés'!D10))</f>
        <v/>
      </c>
    </row>
    <row r="13" ht="20" customHeight="1">
      <c r="A13" s="37">
        <f>IF('Employés'!B11="","",'Employés'!A11)</f>
        <v/>
      </c>
      <c r="B13" s="38">
        <f>IF('Employés'!B11="","",'Employés'!B11)</f>
        <v/>
      </c>
      <c r="C13" s="38">
        <f>IF('Employés'!C11="","",'Employés'!C11)</f>
        <v/>
      </c>
      <c r="D13" s="37" t="n"/>
      <c r="E13" s="37" t="n"/>
      <c r="F13" s="37" t="n"/>
      <c r="G13" s="37" t="n"/>
      <c r="H13" s="37" t="n"/>
      <c r="I13" s="37" t="n"/>
      <c r="J13" s="37" t="n"/>
      <c r="K13" s="37" t="n"/>
      <c r="L13" s="37" t="n"/>
      <c r="M13" s="37" t="n"/>
      <c r="N13" s="37" t="n"/>
      <c r="O13" s="37" t="n"/>
      <c r="P13" s="37" t="n"/>
      <c r="Q13" s="37" t="n"/>
      <c r="R13" s="37" t="n"/>
      <c r="S13" s="37" t="n"/>
      <c r="T13" s="37" t="n"/>
      <c r="U13" s="37" t="n"/>
      <c r="V13" s="37" t="n"/>
      <c r="W13" s="37" t="n"/>
      <c r="X13" s="37" t="n"/>
      <c r="Y13" s="37" t="n"/>
      <c r="Z13" s="37" t="n"/>
      <c r="AA13" s="37" t="n"/>
      <c r="AB13" s="37" t="n"/>
      <c r="AC13" s="37" t="n"/>
      <c r="AD13" s="37" t="n"/>
      <c r="AE13" s="37" t="n"/>
      <c r="AF13" s="37" t="n"/>
      <c r="AG13" s="37" t="n"/>
      <c r="AH13" s="37" t="n"/>
      <c r="AI13" s="39">
        <f>IF($B13="","",COUNTIF(D13:AH13,"P"))</f>
        <v/>
      </c>
      <c r="AJ13" s="39">
        <f>IF($B13="","",COUNTIF(D13:AH13,"R"))</f>
        <v/>
      </c>
      <c r="AK13" s="39">
        <f>IF($B13="","",COUNTIF(D13:AH13,"A"))</f>
        <v/>
      </c>
      <c r="AL13" s="39">
        <f>IF($B13="","",COUNTIF(D13:AH13,"C"))</f>
        <v/>
      </c>
      <c r="AM13" s="39">
        <f>IF($B13="","",COUNTIF(D13:AH13,"M"))</f>
        <v/>
      </c>
      <c r="AN13" s="40">
        <f>IF($B13="","",IF(AI13+AJ13+AK13+AM13=0,"",(AI13+AJ13)/(AI13+AJ13+AK13+AM13)))</f>
        <v/>
      </c>
      <c r="AO13" s="41">
        <f>IF($B13="","",IF('Employés'!D11="","",(AI13+AJ13+AL13)*'Employés'!D11))</f>
        <v/>
      </c>
    </row>
    <row r="14" ht="20" customHeight="1">
      <c r="A14" s="37">
        <f>IF('Employés'!B12="","",'Employés'!A12)</f>
        <v/>
      </c>
      <c r="B14" s="38">
        <f>IF('Employés'!B12="","",'Employés'!B12)</f>
        <v/>
      </c>
      <c r="C14" s="38">
        <f>IF('Employés'!C12="","",'Employés'!C12)</f>
        <v/>
      </c>
      <c r="D14" s="37" t="n"/>
      <c r="E14" s="37" t="n"/>
      <c r="F14" s="37" t="n"/>
      <c r="G14" s="37" t="n"/>
      <c r="H14" s="37" t="n"/>
      <c r="I14" s="37" t="n"/>
      <c r="J14" s="37" t="n"/>
      <c r="K14" s="37" t="n"/>
      <c r="L14" s="37" t="n"/>
      <c r="M14" s="37" t="n"/>
      <c r="N14" s="37" t="n"/>
      <c r="O14" s="37" t="n"/>
      <c r="P14" s="37" t="n"/>
      <c r="Q14" s="37" t="n"/>
      <c r="R14" s="37" t="n"/>
      <c r="S14" s="37" t="n"/>
      <c r="T14" s="37" t="n"/>
      <c r="U14" s="37" t="n"/>
      <c r="V14" s="37" t="n"/>
      <c r="W14" s="37" t="n"/>
      <c r="X14" s="37" t="n"/>
      <c r="Y14" s="37" t="n"/>
      <c r="Z14" s="37" t="n"/>
      <c r="AA14" s="37" t="n"/>
      <c r="AB14" s="37" t="n"/>
      <c r="AC14" s="37" t="n"/>
      <c r="AD14" s="37" t="n"/>
      <c r="AE14" s="37" t="n"/>
      <c r="AF14" s="37" t="n"/>
      <c r="AG14" s="37" t="n"/>
      <c r="AH14" s="37" t="n"/>
      <c r="AI14" s="39">
        <f>IF($B14="","",COUNTIF(D14:AH14,"P"))</f>
        <v/>
      </c>
      <c r="AJ14" s="39">
        <f>IF($B14="","",COUNTIF(D14:AH14,"R"))</f>
        <v/>
      </c>
      <c r="AK14" s="39">
        <f>IF($B14="","",COUNTIF(D14:AH14,"A"))</f>
        <v/>
      </c>
      <c r="AL14" s="39">
        <f>IF($B14="","",COUNTIF(D14:AH14,"C"))</f>
        <v/>
      </c>
      <c r="AM14" s="39">
        <f>IF($B14="","",COUNTIF(D14:AH14,"M"))</f>
        <v/>
      </c>
      <c r="AN14" s="40">
        <f>IF($B14="","",IF(AI14+AJ14+AK14+AM14=0,"",(AI14+AJ14)/(AI14+AJ14+AK14+AM14)))</f>
        <v/>
      </c>
      <c r="AO14" s="41">
        <f>IF($B14="","",IF('Employés'!D12="","",(AI14+AJ14+AL14)*'Employés'!D12))</f>
        <v/>
      </c>
    </row>
    <row r="15" ht="20" customHeight="1">
      <c r="A15" s="37">
        <f>IF('Employés'!B13="","",'Employés'!A13)</f>
        <v/>
      </c>
      <c r="B15" s="38">
        <f>IF('Employés'!B13="","",'Employés'!B13)</f>
        <v/>
      </c>
      <c r="C15" s="38">
        <f>IF('Employés'!C13="","",'Employés'!C13)</f>
        <v/>
      </c>
      <c r="D15" s="37" t="n"/>
      <c r="E15" s="37" t="n"/>
      <c r="F15" s="37" t="n"/>
      <c r="G15" s="37" t="n"/>
      <c r="H15" s="37" t="n"/>
      <c r="I15" s="37" t="n"/>
      <c r="J15" s="37" t="n"/>
      <c r="K15" s="37" t="n"/>
      <c r="L15" s="37" t="n"/>
      <c r="M15" s="37" t="n"/>
      <c r="N15" s="37" t="n"/>
      <c r="O15" s="37" t="n"/>
      <c r="P15" s="37" t="n"/>
      <c r="Q15" s="37" t="n"/>
      <c r="R15" s="37" t="n"/>
      <c r="S15" s="37" t="n"/>
      <c r="T15" s="37" t="n"/>
      <c r="U15" s="37" t="n"/>
      <c r="V15" s="37" t="n"/>
      <c r="W15" s="37" t="n"/>
      <c r="X15" s="37" t="n"/>
      <c r="Y15" s="37" t="n"/>
      <c r="Z15" s="37" t="n"/>
      <c r="AA15" s="37" t="n"/>
      <c r="AB15" s="37" t="n"/>
      <c r="AC15" s="37" t="n"/>
      <c r="AD15" s="37" t="n"/>
      <c r="AE15" s="37" t="n"/>
      <c r="AF15" s="37" t="n"/>
      <c r="AG15" s="37" t="n"/>
      <c r="AH15" s="37" t="n"/>
      <c r="AI15" s="39">
        <f>IF($B15="","",COUNTIF(D15:AH15,"P"))</f>
        <v/>
      </c>
      <c r="AJ15" s="39">
        <f>IF($B15="","",COUNTIF(D15:AH15,"R"))</f>
        <v/>
      </c>
      <c r="AK15" s="39">
        <f>IF($B15="","",COUNTIF(D15:AH15,"A"))</f>
        <v/>
      </c>
      <c r="AL15" s="39">
        <f>IF($B15="","",COUNTIF(D15:AH15,"C"))</f>
        <v/>
      </c>
      <c r="AM15" s="39">
        <f>IF($B15="","",COUNTIF(D15:AH15,"M"))</f>
        <v/>
      </c>
      <c r="AN15" s="40">
        <f>IF($B15="","",IF(AI15+AJ15+AK15+AM15=0,"",(AI15+AJ15)/(AI15+AJ15+AK15+AM15)))</f>
        <v/>
      </c>
      <c r="AO15" s="41">
        <f>IF($B15="","",IF('Employés'!D13="","",(AI15+AJ15+AL15)*'Employés'!D13))</f>
        <v/>
      </c>
    </row>
    <row r="16" ht="20" customHeight="1">
      <c r="A16" s="37">
        <f>IF('Employés'!B14="","",'Employés'!A14)</f>
        <v/>
      </c>
      <c r="B16" s="38">
        <f>IF('Employés'!B14="","",'Employés'!B14)</f>
        <v/>
      </c>
      <c r="C16" s="38">
        <f>IF('Employés'!C14="","",'Employés'!C14)</f>
        <v/>
      </c>
      <c r="D16" s="37" t="n"/>
      <c r="E16" s="37" t="n"/>
      <c r="F16" s="37" t="n"/>
      <c r="G16" s="37" t="n"/>
      <c r="H16" s="37" t="n"/>
      <c r="I16" s="37" t="n"/>
      <c r="J16" s="37" t="n"/>
      <c r="K16" s="37" t="n"/>
      <c r="L16" s="37" t="n"/>
      <c r="M16" s="37" t="n"/>
      <c r="N16" s="37" t="n"/>
      <c r="O16" s="37" t="n"/>
      <c r="P16" s="37" t="n"/>
      <c r="Q16" s="37" t="n"/>
      <c r="R16" s="37" t="n"/>
      <c r="S16" s="37" t="n"/>
      <c r="T16" s="37" t="n"/>
      <c r="U16" s="37" t="n"/>
      <c r="V16" s="37" t="n"/>
      <c r="W16" s="37" t="n"/>
      <c r="X16" s="37" t="n"/>
      <c r="Y16" s="37" t="n"/>
      <c r="Z16" s="37" t="n"/>
      <c r="AA16" s="37" t="n"/>
      <c r="AB16" s="37" t="n"/>
      <c r="AC16" s="37" t="n"/>
      <c r="AD16" s="37" t="n"/>
      <c r="AE16" s="37" t="n"/>
      <c r="AF16" s="37" t="n"/>
      <c r="AG16" s="37" t="n"/>
      <c r="AH16" s="37" t="n"/>
      <c r="AI16" s="39">
        <f>IF($B16="","",COUNTIF(D16:AH16,"P"))</f>
        <v/>
      </c>
      <c r="AJ16" s="39">
        <f>IF($B16="","",COUNTIF(D16:AH16,"R"))</f>
        <v/>
      </c>
      <c r="AK16" s="39">
        <f>IF($B16="","",COUNTIF(D16:AH16,"A"))</f>
        <v/>
      </c>
      <c r="AL16" s="39">
        <f>IF($B16="","",COUNTIF(D16:AH16,"C"))</f>
        <v/>
      </c>
      <c r="AM16" s="39">
        <f>IF($B16="","",COUNTIF(D16:AH16,"M"))</f>
        <v/>
      </c>
      <c r="AN16" s="40">
        <f>IF($B16="","",IF(AI16+AJ16+AK16+AM16=0,"",(AI16+AJ16)/(AI16+AJ16+AK16+AM16)))</f>
        <v/>
      </c>
      <c r="AO16" s="41">
        <f>IF($B16="","",IF('Employés'!D14="","",(AI16+AJ16+AL16)*'Employés'!D14))</f>
        <v/>
      </c>
    </row>
    <row r="17" ht="20" customHeight="1">
      <c r="A17" s="37">
        <f>IF('Employés'!B15="","",'Employés'!A15)</f>
        <v/>
      </c>
      <c r="B17" s="38">
        <f>IF('Employés'!B15="","",'Employés'!B15)</f>
        <v/>
      </c>
      <c r="C17" s="38">
        <f>IF('Employés'!C15="","",'Employés'!C15)</f>
        <v/>
      </c>
      <c r="D17" s="37" t="n"/>
      <c r="E17" s="37" t="n"/>
      <c r="F17" s="37" t="n"/>
      <c r="G17" s="37" t="n"/>
      <c r="H17" s="37" t="n"/>
      <c r="I17" s="37" t="n"/>
      <c r="J17" s="37" t="n"/>
      <c r="K17" s="37" t="n"/>
      <c r="L17" s="37" t="n"/>
      <c r="M17" s="37" t="n"/>
      <c r="N17" s="37" t="n"/>
      <c r="O17" s="37" t="n"/>
      <c r="P17" s="37" t="n"/>
      <c r="Q17" s="37" t="n"/>
      <c r="R17" s="37" t="n"/>
      <c r="S17" s="37" t="n"/>
      <c r="T17" s="37" t="n"/>
      <c r="U17" s="37" t="n"/>
      <c r="V17" s="37" t="n"/>
      <c r="W17" s="37" t="n"/>
      <c r="X17" s="37" t="n"/>
      <c r="Y17" s="37" t="n"/>
      <c r="Z17" s="37" t="n"/>
      <c r="AA17" s="37" t="n"/>
      <c r="AB17" s="37" t="n"/>
      <c r="AC17" s="37" t="n"/>
      <c r="AD17" s="37" t="n"/>
      <c r="AE17" s="37" t="n"/>
      <c r="AF17" s="37" t="n"/>
      <c r="AG17" s="37" t="n"/>
      <c r="AH17" s="37" t="n"/>
      <c r="AI17" s="39">
        <f>IF($B17="","",COUNTIF(D17:AH17,"P"))</f>
        <v/>
      </c>
      <c r="AJ17" s="39">
        <f>IF($B17="","",COUNTIF(D17:AH17,"R"))</f>
        <v/>
      </c>
      <c r="AK17" s="39">
        <f>IF($B17="","",COUNTIF(D17:AH17,"A"))</f>
        <v/>
      </c>
      <c r="AL17" s="39">
        <f>IF($B17="","",COUNTIF(D17:AH17,"C"))</f>
        <v/>
      </c>
      <c r="AM17" s="39">
        <f>IF($B17="","",COUNTIF(D17:AH17,"M"))</f>
        <v/>
      </c>
      <c r="AN17" s="40">
        <f>IF($B17="","",IF(AI17+AJ17+AK17+AM17=0,"",(AI17+AJ17)/(AI17+AJ17+AK17+AM17)))</f>
        <v/>
      </c>
      <c r="AO17" s="41">
        <f>IF($B17="","",IF('Employés'!D15="","",(AI17+AJ17+AL17)*'Employés'!D15))</f>
        <v/>
      </c>
    </row>
    <row r="18" ht="20" customHeight="1">
      <c r="A18" s="37">
        <f>IF('Employés'!B16="","",'Employés'!A16)</f>
        <v/>
      </c>
      <c r="B18" s="38">
        <f>IF('Employés'!B16="","",'Employés'!B16)</f>
        <v/>
      </c>
      <c r="C18" s="38">
        <f>IF('Employés'!C16="","",'Employés'!C16)</f>
        <v/>
      </c>
      <c r="D18" s="37" t="n"/>
      <c r="E18" s="37" t="n"/>
      <c r="F18" s="37" t="n"/>
      <c r="G18" s="37" t="n"/>
      <c r="H18" s="37" t="n"/>
      <c r="I18" s="37" t="n"/>
      <c r="J18" s="37" t="n"/>
      <c r="K18" s="37" t="n"/>
      <c r="L18" s="37" t="n"/>
      <c r="M18" s="37" t="n"/>
      <c r="N18" s="37" t="n"/>
      <c r="O18" s="37" t="n"/>
      <c r="P18" s="37" t="n"/>
      <c r="Q18" s="37" t="n"/>
      <c r="R18" s="37" t="n"/>
      <c r="S18" s="37" t="n"/>
      <c r="T18" s="37" t="n"/>
      <c r="U18" s="37" t="n"/>
      <c r="V18" s="37" t="n"/>
      <c r="W18" s="37" t="n"/>
      <c r="X18" s="37" t="n"/>
      <c r="Y18" s="37" t="n"/>
      <c r="Z18" s="37" t="n"/>
      <c r="AA18" s="37" t="n"/>
      <c r="AB18" s="37" t="n"/>
      <c r="AC18" s="37" t="n"/>
      <c r="AD18" s="37" t="n"/>
      <c r="AE18" s="37" t="n"/>
      <c r="AF18" s="37" t="n"/>
      <c r="AG18" s="37" t="n"/>
      <c r="AH18" s="37" t="n"/>
      <c r="AI18" s="39">
        <f>IF($B18="","",COUNTIF(D18:AH18,"P"))</f>
        <v/>
      </c>
      <c r="AJ18" s="39">
        <f>IF($B18="","",COUNTIF(D18:AH18,"R"))</f>
        <v/>
      </c>
      <c r="AK18" s="39">
        <f>IF($B18="","",COUNTIF(D18:AH18,"A"))</f>
        <v/>
      </c>
      <c r="AL18" s="39">
        <f>IF($B18="","",COUNTIF(D18:AH18,"C"))</f>
        <v/>
      </c>
      <c r="AM18" s="39">
        <f>IF($B18="","",COUNTIF(D18:AH18,"M"))</f>
        <v/>
      </c>
      <c r="AN18" s="40">
        <f>IF($B18="","",IF(AI18+AJ18+AK18+AM18=0,"",(AI18+AJ18)/(AI18+AJ18+AK18+AM18)))</f>
        <v/>
      </c>
      <c r="AO18" s="41">
        <f>IF($B18="","",IF('Employés'!D16="","",(AI18+AJ18+AL18)*'Employés'!D16))</f>
        <v/>
      </c>
    </row>
    <row r="19" ht="20" customHeight="1">
      <c r="A19" s="37">
        <f>IF('Employés'!B17="","",'Employés'!A17)</f>
        <v/>
      </c>
      <c r="B19" s="38">
        <f>IF('Employés'!B17="","",'Employés'!B17)</f>
        <v/>
      </c>
      <c r="C19" s="38">
        <f>IF('Employés'!C17="","",'Employés'!C17)</f>
        <v/>
      </c>
      <c r="D19" s="37" t="n"/>
      <c r="E19" s="37" t="n"/>
      <c r="F19" s="37" t="n"/>
      <c r="G19" s="37" t="n"/>
      <c r="H19" s="37" t="n"/>
      <c r="I19" s="37" t="n"/>
      <c r="J19" s="37" t="n"/>
      <c r="K19" s="37" t="n"/>
      <c r="L19" s="37" t="n"/>
      <c r="M19" s="37" t="n"/>
      <c r="N19" s="37" t="n"/>
      <c r="O19" s="37" t="n"/>
      <c r="P19" s="37" t="n"/>
      <c r="Q19" s="37" t="n"/>
      <c r="R19" s="37" t="n"/>
      <c r="S19" s="37" t="n"/>
      <c r="T19" s="37" t="n"/>
      <c r="U19" s="37" t="n"/>
      <c r="V19" s="37" t="n"/>
      <c r="W19" s="37" t="n"/>
      <c r="X19" s="37" t="n"/>
      <c r="Y19" s="37" t="n"/>
      <c r="Z19" s="37" t="n"/>
      <c r="AA19" s="37" t="n"/>
      <c r="AB19" s="37" t="n"/>
      <c r="AC19" s="37" t="n"/>
      <c r="AD19" s="37" t="n"/>
      <c r="AE19" s="37" t="n"/>
      <c r="AF19" s="37" t="n"/>
      <c r="AG19" s="37" t="n"/>
      <c r="AH19" s="37" t="n"/>
      <c r="AI19" s="39">
        <f>IF($B19="","",COUNTIF(D19:AH19,"P"))</f>
        <v/>
      </c>
      <c r="AJ19" s="39">
        <f>IF($B19="","",COUNTIF(D19:AH19,"R"))</f>
        <v/>
      </c>
      <c r="AK19" s="39">
        <f>IF($B19="","",COUNTIF(D19:AH19,"A"))</f>
        <v/>
      </c>
      <c r="AL19" s="39">
        <f>IF($B19="","",COUNTIF(D19:AH19,"C"))</f>
        <v/>
      </c>
      <c r="AM19" s="39">
        <f>IF($B19="","",COUNTIF(D19:AH19,"M"))</f>
        <v/>
      </c>
      <c r="AN19" s="40">
        <f>IF($B19="","",IF(AI19+AJ19+AK19+AM19=0,"",(AI19+AJ19)/(AI19+AJ19+AK19+AM19)))</f>
        <v/>
      </c>
      <c r="AO19" s="41">
        <f>IF($B19="","",IF('Employés'!D17="","",(AI19+AJ19+AL19)*'Employés'!D17))</f>
        <v/>
      </c>
    </row>
    <row r="20" ht="20" customHeight="1">
      <c r="A20" s="37">
        <f>IF('Employés'!B18="","",'Employés'!A18)</f>
        <v/>
      </c>
      <c r="B20" s="38">
        <f>IF('Employés'!B18="","",'Employés'!B18)</f>
        <v/>
      </c>
      <c r="C20" s="38">
        <f>IF('Employés'!C18="","",'Employés'!C18)</f>
        <v/>
      </c>
      <c r="D20" s="37" t="n"/>
      <c r="E20" s="37" t="n"/>
      <c r="F20" s="37" t="n"/>
      <c r="G20" s="37" t="n"/>
      <c r="H20" s="37" t="n"/>
      <c r="I20" s="37" t="n"/>
      <c r="J20" s="37" t="n"/>
      <c r="K20" s="37" t="n"/>
      <c r="L20" s="37" t="n"/>
      <c r="M20" s="37" t="n"/>
      <c r="N20" s="37" t="n"/>
      <c r="O20" s="37" t="n"/>
      <c r="P20" s="37" t="n"/>
      <c r="Q20" s="37" t="n"/>
      <c r="R20" s="37" t="n"/>
      <c r="S20" s="37" t="n"/>
      <c r="T20" s="37" t="n"/>
      <c r="U20" s="37" t="n"/>
      <c r="V20" s="37" t="n"/>
      <c r="W20" s="37" t="n"/>
      <c r="X20" s="37" t="n"/>
      <c r="Y20" s="37" t="n"/>
      <c r="Z20" s="37" t="n"/>
      <c r="AA20" s="37" t="n"/>
      <c r="AB20" s="37" t="n"/>
      <c r="AC20" s="37" t="n"/>
      <c r="AD20" s="37" t="n"/>
      <c r="AE20" s="37" t="n"/>
      <c r="AF20" s="37" t="n"/>
      <c r="AG20" s="37" t="n"/>
      <c r="AH20" s="37" t="n"/>
      <c r="AI20" s="39">
        <f>IF($B20="","",COUNTIF(D20:AH20,"P"))</f>
        <v/>
      </c>
      <c r="AJ20" s="39">
        <f>IF($B20="","",COUNTIF(D20:AH20,"R"))</f>
        <v/>
      </c>
      <c r="AK20" s="39">
        <f>IF($B20="","",COUNTIF(D20:AH20,"A"))</f>
        <v/>
      </c>
      <c r="AL20" s="39">
        <f>IF($B20="","",COUNTIF(D20:AH20,"C"))</f>
        <v/>
      </c>
      <c r="AM20" s="39">
        <f>IF($B20="","",COUNTIF(D20:AH20,"M"))</f>
        <v/>
      </c>
      <c r="AN20" s="40">
        <f>IF($B20="","",IF(AI20+AJ20+AK20+AM20=0,"",(AI20+AJ20)/(AI20+AJ20+AK20+AM20)))</f>
        <v/>
      </c>
      <c r="AO20" s="41">
        <f>IF($B20="","",IF('Employés'!D18="","",(AI20+AJ20+AL20)*'Employés'!D18))</f>
        <v/>
      </c>
    </row>
    <row r="21" ht="20" customHeight="1">
      <c r="A21" s="37">
        <f>IF('Employés'!B19="","",'Employés'!A19)</f>
        <v/>
      </c>
      <c r="B21" s="38">
        <f>IF('Employés'!B19="","",'Employés'!B19)</f>
        <v/>
      </c>
      <c r="C21" s="38">
        <f>IF('Employés'!C19="","",'Employés'!C19)</f>
        <v/>
      </c>
      <c r="D21" s="37" t="n"/>
      <c r="E21" s="37" t="n"/>
      <c r="F21" s="37" t="n"/>
      <c r="G21" s="37" t="n"/>
      <c r="H21" s="37" t="n"/>
      <c r="I21" s="37" t="n"/>
      <c r="J21" s="37" t="n"/>
      <c r="K21" s="37" t="n"/>
      <c r="L21" s="37" t="n"/>
      <c r="M21" s="37" t="n"/>
      <c r="N21" s="37" t="n"/>
      <c r="O21" s="37" t="n"/>
      <c r="P21" s="37" t="n"/>
      <c r="Q21" s="37" t="n"/>
      <c r="R21" s="37" t="n"/>
      <c r="S21" s="37" t="n"/>
      <c r="T21" s="37" t="n"/>
      <c r="U21" s="37" t="n"/>
      <c r="V21" s="37" t="n"/>
      <c r="W21" s="37" t="n"/>
      <c r="X21" s="37" t="n"/>
      <c r="Y21" s="37" t="n"/>
      <c r="Z21" s="37" t="n"/>
      <c r="AA21" s="37" t="n"/>
      <c r="AB21" s="37" t="n"/>
      <c r="AC21" s="37" t="n"/>
      <c r="AD21" s="37" t="n"/>
      <c r="AE21" s="37" t="n"/>
      <c r="AF21" s="37" t="n"/>
      <c r="AG21" s="37" t="n"/>
      <c r="AH21" s="37" t="n"/>
      <c r="AI21" s="39">
        <f>IF($B21="","",COUNTIF(D21:AH21,"P"))</f>
        <v/>
      </c>
      <c r="AJ21" s="39">
        <f>IF($B21="","",COUNTIF(D21:AH21,"R"))</f>
        <v/>
      </c>
      <c r="AK21" s="39">
        <f>IF($B21="","",COUNTIF(D21:AH21,"A"))</f>
        <v/>
      </c>
      <c r="AL21" s="39">
        <f>IF($B21="","",COUNTIF(D21:AH21,"C"))</f>
        <v/>
      </c>
      <c r="AM21" s="39">
        <f>IF($B21="","",COUNTIF(D21:AH21,"M"))</f>
        <v/>
      </c>
      <c r="AN21" s="40">
        <f>IF($B21="","",IF(AI21+AJ21+AK21+AM21=0,"",(AI21+AJ21)/(AI21+AJ21+AK21+AM21)))</f>
        <v/>
      </c>
      <c r="AO21" s="41">
        <f>IF($B21="","",IF('Employés'!D19="","",(AI21+AJ21+AL21)*'Employés'!D19))</f>
        <v/>
      </c>
    </row>
    <row r="22" ht="20" customHeight="1">
      <c r="A22" s="37">
        <f>IF('Employés'!B20="","",'Employés'!A20)</f>
        <v/>
      </c>
      <c r="B22" s="38">
        <f>IF('Employés'!B20="","",'Employés'!B20)</f>
        <v/>
      </c>
      <c r="C22" s="38">
        <f>IF('Employés'!C20="","",'Employés'!C20)</f>
        <v/>
      </c>
      <c r="D22" s="37" t="n"/>
      <c r="E22" s="37" t="n"/>
      <c r="F22" s="37" t="n"/>
      <c r="G22" s="37" t="n"/>
      <c r="H22" s="37" t="n"/>
      <c r="I22" s="37" t="n"/>
      <c r="J22" s="37" t="n"/>
      <c r="K22" s="37" t="n"/>
      <c r="L22" s="37" t="n"/>
      <c r="M22" s="37" t="n"/>
      <c r="N22" s="37" t="n"/>
      <c r="O22" s="37" t="n"/>
      <c r="P22" s="37" t="n"/>
      <c r="Q22" s="37" t="n"/>
      <c r="R22" s="37" t="n"/>
      <c r="S22" s="37" t="n"/>
      <c r="T22" s="37" t="n"/>
      <c r="U22" s="37" t="n"/>
      <c r="V22" s="37" t="n"/>
      <c r="W22" s="37" t="n"/>
      <c r="X22" s="37" t="n"/>
      <c r="Y22" s="37" t="n"/>
      <c r="Z22" s="37" t="n"/>
      <c r="AA22" s="37" t="n"/>
      <c r="AB22" s="37" t="n"/>
      <c r="AC22" s="37" t="n"/>
      <c r="AD22" s="37" t="n"/>
      <c r="AE22" s="37" t="n"/>
      <c r="AF22" s="37" t="n"/>
      <c r="AG22" s="37" t="n"/>
      <c r="AH22" s="37" t="n"/>
      <c r="AI22" s="39">
        <f>IF($B22="","",COUNTIF(D22:AH22,"P"))</f>
        <v/>
      </c>
      <c r="AJ22" s="39">
        <f>IF($B22="","",COUNTIF(D22:AH22,"R"))</f>
        <v/>
      </c>
      <c r="AK22" s="39">
        <f>IF($B22="","",COUNTIF(D22:AH22,"A"))</f>
        <v/>
      </c>
      <c r="AL22" s="39">
        <f>IF($B22="","",COUNTIF(D22:AH22,"C"))</f>
        <v/>
      </c>
      <c r="AM22" s="39">
        <f>IF($B22="","",COUNTIF(D22:AH22,"M"))</f>
        <v/>
      </c>
      <c r="AN22" s="40">
        <f>IF($B22="","",IF(AI22+AJ22+AK22+AM22=0,"",(AI22+AJ22)/(AI22+AJ22+AK22+AM22)))</f>
        <v/>
      </c>
      <c r="AO22" s="41">
        <f>IF($B22="","",IF('Employés'!D20="","",(AI22+AJ22+AL22)*'Employés'!D20))</f>
        <v/>
      </c>
    </row>
    <row r="23" ht="20" customHeight="1">
      <c r="A23" s="37">
        <f>IF('Employés'!B21="","",'Employés'!A21)</f>
        <v/>
      </c>
      <c r="B23" s="38">
        <f>IF('Employés'!B21="","",'Employés'!B21)</f>
        <v/>
      </c>
      <c r="C23" s="38">
        <f>IF('Employés'!C21="","",'Employés'!C21)</f>
        <v/>
      </c>
      <c r="D23" s="37" t="n"/>
      <c r="E23" s="37" t="n"/>
      <c r="F23" s="37" t="n"/>
      <c r="G23" s="37" t="n"/>
      <c r="H23" s="37" t="n"/>
      <c r="I23" s="37" t="n"/>
      <c r="J23" s="37" t="n"/>
      <c r="K23" s="37" t="n"/>
      <c r="L23" s="37" t="n"/>
      <c r="M23" s="37" t="n"/>
      <c r="N23" s="37" t="n"/>
      <c r="O23" s="37" t="n"/>
      <c r="P23" s="37" t="n"/>
      <c r="Q23" s="37" t="n"/>
      <c r="R23" s="37" t="n"/>
      <c r="S23" s="37" t="n"/>
      <c r="T23" s="37" t="n"/>
      <c r="U23" s="37" t="n"/>
      <c r="V23" s="37" t="n"/>
      <c r="W23" s="37" t="n"/>
      <c r="X23" s="37" t="n"/>
      <c r="Y23" s="37" t="n"/>
      <c r="Z23" s="37" t="n"/>
      <c r="AA23" s="37" t="n"/>
      <c r="AB23" s="37" t="n"/>
      <c r="AC23" s="37" t="n"/>
      <c r="AD23" s="37" t="n"/>
      <c r="AE23" s="37" t="n"/>
      <c r="AF23" s="37" t="n"/>
      <c r="AG23" s="37" t="n"/>
      <c r="AH23" s="37" t="n"/>
      <c r="AI23" s="39">
        <f>IF($B23="","",COUNTIF(D23:AH23,"P"))</f>
        <v/>
      </c>
      <c r="AJ23" s="39">
        <f>IF($B23="","",COUNTIF(D23:AH23,"R"))</f>
        <v/>
      </c>
      <c r="AK23" s="39">
        <f>IF($B23="","",COUNTIF(D23:AH23,"A"))</f>
        <v/>
      </c>
      <c r="AL23" s="39">
        <f>IF($B23="","",COUNTIF(D23:AH23,"C"))</f>
        <v/>
      </c>
      <c r="AM23" s="39">
        <f>IF($B23="","",COUNTIF(D23:AH23,"M"))</f>
        <v/>
      </c>
      <c r="AN23" s="40">
        <f>IF($B23="","",IF(AI23+AJ23+AK23+AM23=0,"",(AI23+AJ23)/(AI23+AJ23+AK23+AM23)))</f>
        <v/>
      </c>
      <c r="AO23" s="41">
        <f>IF($B23="","",IF('Employés'!D21="","",(AI23+AJ23+AL23)*'Employés'!D21))</f>
        <v/>
      </c>
    </row>
    <row r="24" ht="20" customHeight="1">
      <c r="A24" s="37">
        <f>IF('Employés'!B22="","",'Employés'!A22)</f>
        <v/>
      </c>
      <c r="B24" s="38">
        <f>IF('Employés'!B22="","",'Employés'!B22)</f>
        <v/>
      </c>
      <c r="C24" s="38">
        <f>IF('Employés'!C22="","",'Employés'!C22)</f>
        <v/>
      </c>
      <c r="D24" s="37" t="n"/>
      <c r="E24" s="37" t="n"/>
      <c r="F24" s="37" t="n"/>
      <c r="G24" s="37" t="n"/>
      <c r="H24" s="37" t="n"/>
      <c r="I24" s="37" t="n"/>
      <c r="J24" s="37" t="n"/>
      <c r="K24" s="37" t="n"/>
      <c r="L24" s="37" t="n"/>
      <c r="M24" s="37" t="n"/>
      <c r="N24" s="37" t="n"/>
      <c r="O24" s="37" t="n"/>
      <c r="P24" s="37" t="n"/>
      <c r="Q24" s="37" t="n"/>
      <c r="R24" s="37" t="n"/>
      <c r="S24" s="37" t="n"/>
      <c r="T24" s="37" t="n"/>
      <c r="U24" s="37" t="n"/>
      <c r="V24" s="37" t="n"/>
      <c r="W24" s="37" t="n"/>
      <c r="X24" s="37" t="n"/>
      <c r="Y24" s="37" t="n"/>
      <c r="Z24" s="37" t="n"/>
      <c r="AA24" s="37" t="n"/>
      <c r="AB24" s="37" t="n"/>
      <c r="AC24" s="37" t="n"/>
      <c r="AD24" s="37" t="n"/>
      <c r="AE24" s="37" t="n"/>
      <c r="AF24" s="37" t="n"/>
      <c r="AG24" s="37" t="n"/>
      <c r="AH24" s="37" t="n"/>
      <c r="AI24" s="39">
        <f>IF($B24="","",COUNTIF(D24:AH24,"P"))</f>
        <v/>
      </c>
      <c r="AJ24" s="39">
        <f>IF($B24="","",COUNTIF(D24:AH24,"R"))</f>
        <v/>
      </c>
      <c r="AK24" s="39">
        <f>IF($B24="","",COUNTIF(D24:AH24,"A"))</f>
        <v/>
      </c>
      <c r="AL24" s="39">
        <f>IF($B24="","",COUNTIF(D24:AH24,"C"))</f>
        <v/>
      </c>
      <c r="AM24" s="39">
        <f>IF($B24="","",COUNTIF(D24:AH24,"M"))</f>
        <v/>
      </c>
      <c r="AN24" s="40">
        <f>IF($B24="","",IF(AI24+AJ24+AK24+AM24=0,"",(AI24+AJ24)/(AI24+AJ24+AK24+AM24)))</f>
        <v/>
      </c>
      <c r="AO24" s="41">
        <f>IF($B24="","",IF('Employés'!D22="","",(AI24+AJ24+AL24)*'Employés'!D22))</f>
        <v/>
      </c>
    </row>
    <row r="25" ht="20" customHeight="1">
      <c r="A25" s="37">
        <f>IF('Employés'!B23="","",'Employés'!A23)</f>
        <v/>
      </c>
      <c r="B25" s="38">
        <f>IF('Employés'!B23="","",'Employés'!B23)</f>
        <v/>
      </c>
      <c r="C25" s="38">
        <f>IF('Employés'!C23="","",'Employés'!C23)</f>
        <v/>
      </c>
      <c r="D25" s="37" t="n"/>
      <c r="E25" s="37" t="n"/>
      <c r="F25" s="37" t="n"/>
      <c r="G25" s="37" t="n"/>
      <c r="H25" s="37" t="n"/>
      <c r="I25" s="37" t="n"/>
      <c r="J25" s="37" t="n"/>
      <c r="K25" s="37" t="n"/>
      <c r="L25" s="37" t="n"/>
      <c r="M25" s="37" t="n"/>
      <c r="N25" s="37" t="n"/>
      <c r="O25" s="37" t="n"/>
      <c r="P25" s="37" t="n"/>
      <c r="Q25" s="37" t="n"/>
      <c r="R25" s="37" t="n"/>
      <c r="S25" s="37" t="n"/>
      <c r="T25" s="37" t="n"/>
      <c r="U25" s="37" t="n"/>
      <c r="V25" s="37" t="n"/>
      <c r="W25" s="37" t="n"/>
      <c r="X25" s="37" t="n"/>
      <c r="Y25" s="37" t="n"/>
      <c r="Z25" s="37" t="n"/>
      <c r="AA25" s="37" t="n"/>
      <c r="AB25" s="37" t="n"/>
      <c r="AC25" s="37" t="n"/>
      <c r="AD25" s="37" t="n"/>
      <c r="AE25" s="37" t="n"/>
      <c r="AF25" s="37" t="n"/>
      <c r="AG25" s="37" t="n"/>
      <c r="AH25" s="37" t="n"/>
      <c r="AI25" s="39">
        <f>IF($B25="","",COUNTIF(D25:AH25,"P"))</f>
        <v/>
      </c>
      <c r="AJ25" s="39">
        <f>IF($B25="","",COUNTIF(D25:AH25,"R"))</f>
        <v/>
      </c>
      <c r="AK25" s="39">
        <f>IF($B25="","",COUNTIF(D25:AH25,"A"))</f>
        <v/>
      </c>
      <c r="AL25" s="39">
        <f>IF($B25="","",COUNTIF(D25:AH25,"C"))</f>
        <v/>
      </c>
      <c r="AM25" s="39">
        <f>IF($B25="","",COUNTIF(D25:AH25,"M"))</f>
        <v/>
      </c>
      <c r="AN25" s="40">
        <f>IF($B25="","",IF(AI25+AJ25+AK25+AM25=0,"",(AI25+AJ25)/(AI25+AJ25+AK25+AM25)))</f>
        <v/>
      </c>
      <c r="AO25" s="41">
        <f>IF($B25="","",IF('Employés'!D23="","",(AI25+AJ25+AL25)*'Employés'!D23))</f>
        <v/>
      </c>
    </row>
    <row r="26" ht="20" customHeight="1">
      <c r="A26" s="37">
        <f>IF('Employés'!B24="","",'Employés'!A24)</f>
        <v/>
      </c>
      <c r="B26" s="38">
        <f>IF('Employés'!B24="","",'Employés'!B24)</f>
        <v/>
      </c>
      <c r="C26" s="38">
        <f>IF('Employés'!C24="","",'Employés'!C24)</f>
        <v/>
      </c>
      <c r="D26" s="37" t="n"/>
      <c r="E26" s="37" t="n"/>
      <c r="F26" s="37" t="n"/>
      <c r="G26" s="37" t="n"/>
      <c r="H26" s="37" t="n"/>
      <c r="I26" s="37" t="n"/>
      <c r="J26" s="37" t="n"/>
      <c r="K26" s="37" t="n"/>
      <c r="L26" s="37" t="n"/>
      <c r="M26" s="37" t="n"/>
      <c r="N26" s="37" t="n"/>
      <c r="O26" s="37" t="n"/>
      <c r="P26" s="37" t="n"/>
      <c r="Q26" s="37" t="n"/>
      <c r="R26" s="37" t="n"/>
      <c r="S26" s="37" t="n"/>
      <c r="T26" s="37" t="n"/>
      <c r="U26" s="37" t="n"/>
      <c r="V26" s="37" t="n"/>
      <c r="W26" s="37" t="n"/>
      <c r="X26" s="37" t="n"/>
      <c r="Y26" s="37" t="n"/>
      <c r="Z26" s="37" t="n"/>
      <c r="AA26" s="37" t="n"/>
      <c r="AB26" s="37" t="n"/>
      <c r="AC26" s="37" t="n"/>
      <c r="AD26" s="37" t="n"/>
      <c r="AE26" s="37" t="n"/>
      <c r="AF26" s="37" t="n"/>
      <c r="AG26" s="37" t="n"/>
      <c r="AH26" s="37" t="n"/>
      <c r="AI26" s="39">
        <f>IF($B26="","",COUNTIF(D26:AH26,"P"))</f>
        <v/>
      </c>
      <c r="AJ26" s="39">
        <f>IF($B26="","",COUNTIF(D26:AH26,"R"))</f>
        <v/>
      </c>
      <c r="AK26" s="39">
        <f>IF($B26="","",COUNTIF(D26:AH26,"A"))</f>
        <v/>
      </c>
      <c r="AL26" s="39">
        <f>IF($B26="","",COUNTIF(D26:AH26,"C"))</f>
        <v/>
      </c>
      <c r="AM26" s="39">
        <f>IF($B26="","",COUNTIF(D26:AH26,"M"))</f>
        <v/>
      </c>
      <c r="AN26" s="40">
        <f>IF($B26="","",IF(AI26+AJ26+AK26+AM26=0,"",(AI26+AJ26)/(AI26+AJ26+AK26+AM26)))</f>
        <v/>
      </c>
      <c r="AO26" s="41">
        <f>IF($B26="","",IF('Employés'!D24="","",(AI26+AJ26+AL26)*'Employés'!D24))</f>
        <v/>
      </c>
    </row>
    <row r="27" ht="20" customHeight="1">
      <c r="A27" s="37">
        <f>IF('Employés'!B25="","",'Employés'!A25)</f>
        <v/>
      </c>
      <c r="B27" s="38">
        <f>IF('Employés'!B25="","",'Employés'!B25)</f>
        <v/>
      </c>
      <c r="C27" s="38">
        <f>IF('Employés'!C25="","",'Employés'!C25)</f>
        <v/>
      </c>
      <c r="D27" s="37" t="n"/>
      <c r="E27" s="37" t="n"/>
      <c r="F27" s="37" t="n"/>
      <c r="G27" s="37" t="n"/>
      <c r="H27" s="37" t="n"/>
      <c r="I27" s="37" t="n"/>
      <c r="J27" s="37" t="n"/>
      <c r="K27" s="37" t="n"/>
      <c r="L27" s="37" t="n"/>
      <c r="M27" s="37" t="n"/>
      <c r="N27" s="37" t="n"/>
      <c r="O27" s="37" t="n"/>
      <c r="P27" s="37" t="n"/>
      <c r="Q27" s="37" t="n"/>
      <c r="R27" s="37" t="n"/>
      <c r="S27" s="37" t="n"/>
      <c r="T27" s="37" t="n"/>
      <c r="U27" s="37" t="n"/>
      <c r="V27" s="37" t="n"/>
      <c r="W27" s="37" t="n"/>
      <c r="X27" s="37" t="n"/>
      <c r="Y27" s="37" t="n"/>
      <c r="Z27" s="37" t="n"/>
      <c r="AA27" s="37" t="n"/>
      <c r="AB27" s="37" t="n"/>
      <c r="AC27" s="37" t="n"/>
      <c r="AD27" s="37" t="n"/>
      <c r="AE27" s="37" t="n"/>
      <c r="AF27" s="37" t="n"/>
      <c r="AG27" s="37" t="n"/>
      <c r="AH27" s="37" t="n"/>
      <c r="AI27" s="39">
        <f>IF($B27="","",COUNTIF(D27:AH27,"P"))</f>
        <v/>
      </c>
      <c r="AJ27" s="39">
        <f>IF($B27="","",COUNTIF(D27:AH27,"R"))</f>
        <v/>
      </c>
      <c r="AK27" s="39">
        <f>IF($B27="","",COUNTIF(D27:AH27,"A"))</f>
        <v/>
      </c>
      <c r="AL27" s="39">
        <f>IF($B27="","",COUNTIF(D27:AH27,"C"))</f>
        <v/>
      </c>
      <c r="AM27" s="39">
        <f>IF($B27="","",COUNTIF(D27:AH27,"M"))</f>
        <v/>
      </c>
      <c r="AN27" s="40">
        <f>IF($B27="","",IF(AI27+AJ27+AK27+AM27=0,"",(AI27+AJ27)/(AI27+AJ27+AK27+AM27)))</f>
        <v/>
      </c>
      <c r="AO27" s="41">
        <f>IF($B27="","",IF('Employés'!D25="","",(AI27+AJ27+AL27)*'Employés'!D25))</f>
        <v/>
      </c>
    </row>
    <row r="28" ht="20" customHeight="1">
      <c r="A28" s="37">
        <f>IF('Employés'!B26="","",'Employés'!A26)</f>
        <v/>
      </c>
      <c r="B28" s="38">
        <f>IF('Employés'!B26="","",'Employés'!B26)</f>
        <v/>
      </c>
      <c r="C28" s="38">
        <f>IF('Employés'!C26="","",'Employés'!C26)</f>
        <v/>
      </c>
      <c r="D28" s="37" t="n"/>
      <c r="E28" s="37" t="n"/>
      <c r="F28" s="37" t="n"/>
      <c r="G28" s="37" t="n"/>
      <c r="H28" s="37" t="n"/>
      <c r="I28" s="37" t="n"/>
      <c r="J28" s="37" t="n"/>
      <c r="K28" s="37" t="n"/>
      <c r="L28" s="37" t="n"/>
      <c r="M28" s="37" t="n"/>
      <c r="N28" s="37" t="n"/>
      <c r="O28" s="37" t="n"/>
      <c r="P28" s="37" t="n"/>
      <c r="Q28" s="37" t="n"/>
      <c r="R28" s="37" t="n"/>
      <c r="S28" s="37" t="n"/>
      <c r="T28" s="37" t="n"/>
      <c r="U28" s="37" t="n"/>
      <c r="V28" s="37" t="n"/>
      <c r="W28" s="37" t="n"/>
      <c r="X28" s="37" t="n"/>
      <c r="Y28" s="37" t="n"/>
      <c r="Z28" s="37" t="n"/>
      <c r="AA28" s="37" t="n"/>
      <c r="AB28" s="37" t="n"/>
      <c r="AC28" s="37" t="n"/>
      <c r="AD28" s="37" t="n"/>
      <c r="AE28" s="37" t="n"/>
      <c r="AF28" s="37" t="n"/>
      <c r="AG28" s="37" t="n"/>
      <c r="AH28" s="37" t="n"/>
      <c r="AI28" s="39">
        <f>IF($B28="","",COUNTIF(D28:AH28,"P"))</f>
        <v/>
      </c>
      <c r="AJ28" s="39">
        <f>IF($B28="","",COUNTIF(D28:AH28,"R"))</f>
        <v/>
      </c>
      <c r="AK28" s="39">
        <f>IF($B28="","",COUNTIF(D28:AH28,"A"))</f>
        <v/>
      </c>
      <c r="AL28" s="39">
        <f>IF($B28="","",COUNTIF(D28:AH28,"C"))</f>
        <v/>
      </c>
      <c r="AM28" s="39">
        <f>IF($B28="","",COUNTIF(D28:AH28,"M"))</f>
        <v/>
      </c>
      <c r="AN28" s="40">
        <f>IF($B28="","",IF(AI28+AJ28+AK28+AM28=0,"",(AI28+AJ28)/(AI28+AJ28+AK28+AM28)))</f>
        <v/>
      </c>
      <c r="AO28" s="41">
        <f>IF($B28="","",IF('Employés'!D26="","",(AI28+AJ28+AL28)*'Employés'!D26))</f>
        <v/>
      </c>
    </row>
    <row r="29" ht="20" customHeight="1">
      <c r="A29" s="37">
        <f>IF('Employés'!B27="","",'Employés'!A27)</f>
        <v/>
      </c>
      <c r="B29" s="38">
        <f>IF('Employés'!B27="","",'Employés'!B27)</f>
        <v/>
      </c>
      <c r="C29" s="38">
        <f>IF('Employés'!C27="","",'Employés'!C27)</f>
        <v/>
      </c>
      <c r="D29" s="37" t="n"/>
      <c r="E29" s="37" t="n"/>
      <c r="F29" s="37" t="n"/>
      <c r="G29" s="37" t="n"/>
      <c r="H29" s="37" t="n"/>
      <c r="I29" s="37" t="n"/>
      <c r="J29" s="37" t="n"/>
      <c r="K29" s="37" t="n"/>
      <c r="L29" s="37" t="n"/>
      <c r="M29" s="37" t="n"/>
      <c r="N29" s="37" t="n"/>
      <c r="O29" s="37" t="n"/>
      <c r="P29" s="37" t="n"/>
      <c r="Q29" s="37" t="n"/>
      <c r="R29" s="37" t="n"/>
      <c r="S29" s="37" t="n"/>
      <c r="T29" s="37" t="n"/>
      <c r="U29" s="37" t="n"/>
      <c r="V29" s="37" t="n"/>
      <c r="W29" s="37" t="n"/>
      <c r="X29" s="37" t="n"/>
      <c r="Y29" s="37" t="n"/>
      <c r="Z29" s="37" t="n"/>
      <c r="AA29" s="37" t="n"/>
      <c r="AB29" s="37" t="n"/>
      <c r="AC29" s="37" t="n"/>
      <c r="AD29" s="37" t="n"/>
      <c r="AE29" s="37" t="n"/>
      <c r="AF29" s="37" t="n"/>
      <c r="AG29" s="37" t="n"/>
      <c r="AH29" s="37" t="n"/>
      <c r="AI29" s="39">
        <f>IF($B29="","",COUNTIF(D29:AH29,"P"))</f>
        <v/>
      </c>
      <c r="AJ29" s="39">
        <f>IF($B29="","",COUNTIF(D29:AH29,"R"))</f>
        <v/>
      </c>
      <c r="AK29" s="39">
        <f>IF($B29="","",COUNTIF(D29:AH29,"A"))</f>
        <v/>
      </c>
      <c r="AL29" s="39">
        <f>IF($B29="","",COUNTIF(D29:AH29,"C"))</f>
        <v/>
      </c>
      <c r="AM29" s="39">
        <f>IF($B29="","",COUNTIF(D29:AH29,"M"))</f>
        <v/>
      </c>
      <c r="AN29" s="40">
        <f>IF($B29="","",IF(AI29+AJ29+AK29+AM29=0,"",(AI29+AJ29)/(AI29+AJ29+AK29+AM29)))</f>
        <v/>
      </c>
      <c r="AO29" s="41">
        <f>IF($B29="","",IF('Employés'!D27="","",(AI29+AJ29+AL29)*'Employés'!D27))</f>
        <v/>
      </c>
    </row>
    <row r="30" ht="20" customHeight="1">
      <c r="A30" s="37">
        <f>IF('Employés'!B28="","",'Employés'!A28)</f>
        <v/>
      </c>
      <c r="B30" s="38">
        <f>IF('Employés'!B28="","",'Employés'!B28)</f>
        <v/>
      </c>
      <c r="C30" s="38">
        <f>IF('Employés'!C28="","",'Employés'!C28)</f>
        <v/>
      </c>
      <c r="D30" s="37" t="n"/>
      <c r="E30" s="37" t="n"/>
      <c r="F30" s="37" t="n"/>
      <c r="G30" s="37" t="n"/>
      <c r="H30" s="37" t="n"/>
      <c r="I30" s="37" t="n"/>
      <c r="J30" s="37" t="n"/>
      <c r="K30" s="37" t="n"/>
      <c r="L30" s="37" t="n"/>
      <c r="M30" s="37" t="n"/>
      <c r="N30" s="37" t="n"/>
      <c r="O30" s="37" t="n"/>
      <c r="P30" s="37" t="n"/>
      <c r="Q30" s="37" t="n"/>
      <c r="R30" s="37" t="n"/>
      <c r="S30" s="37" t="n"/>
      <c r="T30" s="37" t="n"/>
      <c r="U30" s="37" t="n"/>
      <c r="V30" s="37" t="n"/>
      <c r="W30" s="37" t="n"/>
      <c r="X30" s="37" t="n"/>
      <c r="Y30" s="37" t="n"/>
      <c r="Z30" s="37" t="n"/>
      <c r="AA30" s="37" t="n"/>
      <c r="AB30" s="37" t="n"/>
      <c r="AC30" s="37" t="n"/>
      <c r="AD30" s="37" t="n"/>
      <c r="AE30" s="37" t="n"/>
      <c r="AF30" s="37" t="n"/>
      <c r="AG30" s="37" t="n"/>
      <c r="AH30" s="37" t="n"/>
      <c r="AI30" s="39">
        <f>IF($B30="","",COUNTIF(D30:AH30,"P"))</f>
        <v/>
      </c>
      <c r="AJ30" s="39">
        <f>IF($B30="","",COUNTIF(D30:AH30,"R"))</f>
        <v/>
      </c>
      <c r="AK30" s="39">
        <f>IF($B30="","",COUNTIF(D30:AH30,"A"))</f>
        <v/>
      </c>
      <c r="AL30" s="39">
        <f>IF($B30="","",COUNTIF(D30:AH30,"C"))</f>
        <v/>
      </c>
      <c r="AM30" s="39">
        <f>IF($B30="","",COUNTIF(D30:AH30,"M"))</f>
        <v/>
      </c>
      <c r="AN30" s="40">
        <f>IF($B30="","",IF(AI30+AJ30+AK30+AM30=0,"",(AI30+AJ30)/(AI30+AJ30+AK30+AM30)))</f>
        <v/>
      </c>
      <c r="AO30" s="41">
        <f>IF($B30="","",IF('Employés'!D28="","",(AI30+AJ30+AL30)*'Employés'!D28))</f>
        <v/>
      </c>
    </row>
    <row r="31" ht="20" customHeight="1">
      <c r="A31" s="37">
        <f>IF('Employés'!B29="","",'Employés'!A29)</f>
        <v/>
      </c>
      <c r="B31" s="38">
        <f>IF('Employés'!B29="","",'Employés'!B29)</f>
        <v/>
      </c>
      <c r="C31" s="38">
        <f>IF('Employés'!C29="","",'Employés'!C29)</f>
        <v/>
      </c>
      <c r="D31" s="37" t="n"/>
      <c r="E31" s="37" t="n"/>
      <c r="F31" s="37" t="n"/>
      <c r="G31" s="37" t="n"/>
      <c r="H31" s="37" t="n"/>
      <c r="I31" s="37" t="n"/>
      <c r="J31" s="37" t="n"/>
      <c r="K31" s="37" t="n"/>
      <c r="L31" s="37" t="n"/>
      <c r="M31" s="37" t="n"/>
      <c r="N31" s="37" t="n"/>
      <c r="O31" s="37" t="n"/>
      <c r="P31" s="37" t="n"/>
      <c r="Q31" s="37" t="n"/>
      <c r="R31" s="37" t="n"/>
      <c r="S31" s="37" t="n"/>
      <c r="T31" s="37" t="n"/>
      <c r="U31" s="37" t="n"/>
      <c r="V31" s="37" t="n"/>
      <c r="W31" s="37" t="n"/>
      <c r="X31" s="37" t="n"/>
      <c r="Y31" s="37" t="n"/>
      <c r="Z31" s="37" t="n"/>
      <c r="AA31" s="37" t="n"/>
      <c r="AB31" s="37" t="n"/>
      <c r="AC31" s="37" t="n"/>
      <c r="AD31" s="37" t="n"/>
      <c r="AE31" s="37" t="n"/>
      <c r="AF31" s="37" t="n"/>
      <c r="AG31" s="37" t="n"/>
      <c r="AH31" s="37" t="n"/>
      <c r="AI31" s="39">
        <f>IF($B31="","",COUNTIF(D31:AH31,"P"))</f>
        <v/>
      </c>
      <c r="AJ31" s="39">
        <f>IF($B31="","",COUNTIF(D31:AH31,"R"))</f>
        <v/>
      </c>
      <c r="AK31" s="39">
        <f>IF($B31="","",COUNTIF(D31:AH31,"A"))</f>
        <v/>
      </c>
      <c r="AL31" s="39">
        <f>IF($B31="","",COUNTIF(D31:AH31,"C"))</f>
        <v/>
      </c>
      <c r="AM31" s="39">
        <f>IF($B31="","",COUNTIF(D31:AH31,"M"))</f>
        <v/>
      </c>
      <c r="AN31" s="40">
        <f>IF($B31="","",IF(AI31+AJ31+AK31+AM31=0,"",(AI31+AJ31)/(AI31+AJ31+AK31+AM31)))</f>
        <v/>
      </c>
      <c r="AO31" s="41">
        <f>IF($B31="","",IF('Employés'!D29="","",(AI31+AJ31+AL31)*'Employés'!D29))</f>
        <v/>
      </c>
    </row>
    <row r="32" ht="20" customHeight="1">
      <c r="A32" s="37">
        <f>IF('Employés'!B30="","",'Employés'!A30)</f>
        <v/>
      </c>
      <c r="B32" s="38">
        <f>IF('Employés'!B30="","",'Employés'!B30)</f>
        <v/>
      </c>
      <c r="C32" s="38">
        <f>IF('Employés'!C30="","",'Employés'!C30)</f>
        <v/>
      </c>
      <c r="D32" s="37" t="n"/>
      <c r="E32" s="37" t="n"/>
      <c r="F32" s="37" t="n"/>
      <c r="G32" s="37" t="n"/>
      <c r="H32" s="37" t="n"/>
      <c r="I32" s="37" t="n"/>
      <c r="J32" s="37" t="n"/>
      <c r="K32" s="37" t="n"/>
      <c r="L32" s="37" t="n"/>
      <c r="M32" s="37" t="n"/>
      <c r="N32" s="37" t="n"/>
      <c r="O32" s="37" t="n"/>
      <c r="P32" s="37" t="n"/>
      <c r="Q32" s="37" t="n"/>
      <c r="R32" s="37" t="n"/>
      <c r="S32" s="37" t="n"/>
      <c r="T32" s="37" t="n"/>
      <c r="U32" s="37" t="n"/>
      <c r="V32" s="37" t="n"/>
      <c r="W32" s="37" t="n"/>
      <c r="X32" s="37" t="n"/>
      <c r="Y32" s="37" t="n"/>
      <c r="Z32" s="37" t="n"/>
      <c r="AA32" s="37" t="n"/>
      <c r="AB32" s="37" t="n"/>
      <c r="AC32" s="37" t="n"/>
      <c r="AD32" s="37" t="n"/>
      <c r="AE32" s="37" t="n"/>
      <c r="AF32" s="37" t="n"/>
      <c r="AG32" s="37" t="n"/>
      <c r="AH32" s="37" t="n"/>
      <c r="AI32" s="39">
        <f>IF($B32="","",COUNTIF(D32:AH32,"P"))</f>
        <v/>
      </c>
      <c r="AJ32" s="39">
        <f>IF($B32="","",COUNTIF(D32:AH32,"R"))</f>
        <v/>
      </c>
      <c r="AK32" s="39">
        <f>IF($B32="","",COUNTIF(D32:AH32,"A"))</f>
        <v/>
      </c>
      <c r="AL32" s="39">
        <f>IF($B32="","",COUNTIF(D32:AH32,"C"))</f>
        <v/>
      </c>
      <c r="AM32" s="39">
        <f>IF($B32="","",COUNTIF(D32:AH32,"M"))</f>
        <v/>
      </c>
      <c r="AN32" s="40">
        <f>IF($B32="","",IF(AI32+AJ32+AK32+AM32=0,"",(AI32+AJ32)/(AI32+AJ32+AK32+AM32)))</f>
        <v/>
      </c>
      <c r="AO32" s="41">
        <f>IF($B32="","",IF('Employés'!D30="","",(AI32+AJ32+AL32)*'Employés'!D30))</f>
        <v/>
      </c>
    </row>
    <row r="33" ht="20" customHeight="1">
      <c r="A33" s="37">
        <f>IF('Employés'!B31="","",'Employés'!A31)</f>
        <v/>
      </c>
      <c r="B33" s="38">
        <f>IF('Employés'!B31="","",'Employés'!B31)</f>
        <v/>
      </c>
      <c r="C33" s="38">
        <f>IF('Employés'!C31="","",'Employés'!C31)</f>
        <v/>
      </c>
      <c r="D33" s="37" t="n"/>
      <c r="E33" s="37" t="n"/>
      <c r="F33" s="37" t="n"/>
      <c r="G33" s="37" t="n"/>
      <c r="H33" s="37" t="n"/>
      <c r="I33" s="37" t="n"/>
      <c r="J33" s="37" t="n"/>
      <c r="K33" s="37" t="n"/>
      <c r="L33" s="37" t="n"/>
      <c r="M33" s="37" t="n"/>
      <c r="N33" s="37" t="n"/>
      <c r="O33" s="37" t="n"/>
      <c r="P33" s="37" t="n"/>
      <c r="Q33" s="37" t="n"/>
      <c r="R33" s="37" t="n"/>
      <c r="S33" s="37" t="n"/>
      <c r="T33" s="37" t="n"/>
      <c r="U33" s="37" t="n"/>
      <c r="V33" s="37" t="n"/>
      <c r="W33" s="37" t="n"/>
      <c r="X33" s="37" t="n"/>
      <c r="Y33" s="37" t="n"/>
      <c r="Z33" s="37" t="n"/>
      <c r="AA33" s="37" t="n"/>
      <c r="AB33" s="37" t="n"/>
      <c r="AC33" s="37" t="n"/>
      <c r="AD33" s="37" t="n"/>
      <c r="AE33" s="37" t="n"/>
      <c r="AF33" s="37" t="n"/>
      <c r="AG33" s="37" t="n"/>
      <c r="AH33" s="37" t="n"/>
      <c r="AI33" s="39">
        <f>IF($B33="","",COUNTIF(D33:AH33,"P"))</f>
        <v/>
      </c>
      <c r="AJ33" s="39">
        <f>IF($B33="","",COUNTIF(D33:AH33,"R"))</f>
        <v/>
      </c>
      <c r="AK33" s="39">
        <f>IF($B33="","",COUNTIF(D33:AH33,"A"))</f>
        <v/>
      </c>
      <c r="AL33" s="39">
        <f>IF($B33="","",COUNTIF(D33:AH33,"C"))</f>
        <v/>
      </c>
      <c r="AM33" s="39">
        <f>IF($B33="","",COUNTIF(D33:AH33,"M"))</f>
        <v/>
      </c>
      <c r="AN33" s="40">
        <f>IF($B33="","",IF(AI33+AJ33+AK33+AM33=0,"",(AI33+AJ33)/(AI33+AJ33+AK33+AM33)))</f>
        <v/>
      </c>
      <c r="AO33" s="41">
        <f>IF($B33="","",IF('Employés'!D31="","",(AI33+AJ33+AL33)*'Employés'!D31))</f>
        <v/>
      </c>
    </row>
    <row r="34" ht="20" customHeight="1">
      <c r="A34" s="37">
        <f>IF('Employés'!B32="","",'Employés'!A32)</f>
        <v/>
      </c>
      <c r="B34" s="38">
        <f>IF('Employés'!B32="","",'Employés'!B32)</f>
        <v/>
      </c>
      <c r="C34" s="38">
        <f>IF('Employés'!C32="","",'Employés'!C32)</f>
        <v/>
      </c>
      <c r="D34" s="37" t="n"/>
      <c r="E34" s="37" t="n"/>
      <c r="F34" s="37" t="n"/>
      <c r="G34" s="37" t="n"/>
      <c r="H34" s="37" t="n"/>
      <c r="I34" s="37" t="n"/>
      <c r="J34" s="37" t="n"/>
      <c r="K34" s="37" t="n"/>
      <c r="L34" s="37" t="n"/>
      <c r="M34" s="37" t="n"/>
      <c r="N34" s="37" t="n"/>
      <c r="O34" s="37" t="n"/>
      <c r="P34" s="37" t="n"/>
      <c r="Q34" s="37" t="n"/>
      <c r="R34" s="37" t="n"/>
      <c r="S34" s="37" t="n"/>
      <c r="T34" s="37" t="n"/>
      <c r="U34" s="37" t="n"/>
      <c r="V34" s="37" t="n"/>
      <c r="W34" s="37" t="n"/>
      <c r="X34" s="37" t="n"/>
      <c r="Y34" s="37" t="n"/>
      <c r="Z34" s="37" t="n"/>
      <c r="AA34" s="37" t="n"/>
      <c r="AB34" s="37" t="n"/>
      <c r="AC34" s="37" t="n"/>
      <c r="AD34" s="37" t="n"/>
      <c r="AE34" s="37" t="n"/>
      <c r="AF34" s="37" t="n"/>
      <c r="AG34" s="37" t="n"/>
      <c r="AH34" s="37" t="n"/>
      <c r="AI34" s="39">
        <f>IF($B34="","",COUNTIF(D34:AH34,"P"))</f>
        <v/>
      </c>
      <c r="AJ34" s="39">
        <f>IF($B34="","",COUNTIF(D34:AH34,"R"))</f>
        <v/>
      </c>
      <c r="AK34" s="39">
        <f>IF($B34="","",COUNTIF(D34:AH34,"A"))</f>
        <v/>
      </c>
      <c r="AL34" s="39">
        <f>IF($B34="","",COUNTIF(D34:AH34,"C"))</f>
        <v/>
      </c>
      <c r="AM34" s="39">
        <f>IF($B34="","",COUNTIF(D34:AH34,"M"))</f>
        <v/>
      </c>
      <c r="AN34" s="40">
        <f>IF($B34="","",IF(AI34+AJ34+AK34+AM34=0,"",(AI34+AJ34)/(AI34+AJ34+AK34+AM34)))</f>
        <v/>
      </c>
      <c r="AO34" s="41">
        <f>IF($B34="","",IF('Employés'!D32="","",(AI34+AJ34+AL34)*'Employés'!D32))</f>
        <v/>
      </c>
    </row>
    <row r="35" ht="20" customHeight="1">
      <c r="A35" s="37">
        <f>IF('Employés'!B33="","",'Employés'!A33)</f>
        <v/>
      </c>
      <c r="B35" s="38">
        <f>IF('Employés'!B33="","",'Employés'!B33)</f>
        <v/>
      </c>
      <c r="C35" s="38">
        <f>IF('Employés'!C33="","",'Employés'!C33)</f>
        <v/>
      </c>
      <c r="D35" s="37" t="n"/>
      <c r="E35" s="37" t="n"/>
      <c r="F35" s="37" t="n"/>
      <c r="G35" s="37" t="n"/>
      <c r="H35" s="37" t="n"/>
      <c r="I35" s="37" t="n"/>
      <c r="J35" s="37" t="n"/>
      <c r="K35" s="37" t="n"/>
      <c r="L35" s="37" t="n"/>
      <c r="M35" s="37" t="n"/>
      <c r="N35" s="37" t="n"/>
      <c r="O35" s="37" t="n"/>
      <c r="P35" s="37" t="n"/>
      <c r="Q35" s="37" t="n"/>
      <c r="R35" s="37" t="n"/>
      <c r="S35" s="37" t="n"/>
      <c r="T35" s="37" t="n"/>
      <c r="U35" s="37" t="n"/>
      <c r="V35" s="37" t="n"/>
      <c r="W35" s="37" t="n"/>
      <c r="X35" s="37" t="n"/>
      <c r="Y35" s="37" t="n"/>
      <c r="Z35" s="37" t="n"/>
      <c r="AA35" s="37" t="n"/>
      <c r="AB35" s="37" t="n"/>
      <c r="AC35" s="37" t="n"/>
      <c r="AD35" s="37" t="n"/>
      <c r="AE35" s="37" t="n"/>
      <c r="AF35" s="37" t="n"/>
      <c r="AG35" s="37" t="n"/>
      <c r="AH35" s="37" t="n"/>
      <c r="AI35" s="39">
        <f>IF($B35="","",COUNTIF(D35:AH35,"P"))</f>
        <v/>
      </c>
      <c r="AJ35" s="39">
        <f>IF($B35="","",COUNTIF(D35:AH35,"R"))</f>
        <v/>
      </c>
      <c r="AK35" s="39">
        <f>IF($B35="","",COUNTIF(D35:AH35,"A"))</f>
        <v/>
      </c>
      <c r="AL35" s="39">
        <f>IF($B35="","",COUNTIF(D35:AH35,"C"))</f>
        <v/>
      </c>
      <c r="AM35" s="39">
        <f>IF($B35="","",COUNTIF(D35:AH35,"M"))</f>
        <v/>
      </c>
      <c r="AN35" s="40">
        <f>IF($B35="","",IF(AI35+AJ35+AK35+AM35=0,"",(AI35+AJ35)/(AI35+AJ35+AK35+AM35)))</f>
        <v/>
      </c>
      <c r="AO35" s="41">
        <f>IF($B35="","",IF('Employés'!D33="","",(AI35+AJ35+AL35)*'Employés'!D33))</f>
        <v/>
      </c>
    </row>
    <row r="36" ht="20" customHeight="1">
      <c r="A36" s="37">
        <f>IF('Employés'!B34="","",'Employés'!A34)</f>
        <v/>
      </c>
      <c r="B36" s="38">
        <f>IF('Employés'!B34="","",'Employés'!B34)</f>
        <v/>
      </c>
      <c r="C36" s="38">
        <f>IF('Employés'!C34="","",'Employés'!C34)</f>
        <v/>
      </c>
      <c r="D36" s="37" t="n"/>
      <c r="E36" s="37" t="n"/>
      <c r="F36" s="37" t="n"/>
      <c r="G36" s="37" t="n"/>
      <c r="H36" s="37" t="n"/>
      <c r="I36" s="37" t="n"/>
      <c r="J36" s="37" t="n"/>
      <c r="K36" s="37" t="n"/>
      <c r="L36" s="37" t="n"/>
      <c r="M36" s="37" t="n"/>
      <c r="N36" s="37" t="n"/>
      <c r="O36" s="37" t="n"/>
      <c r="P36" s="37" t="n"/>
      <c r="Q36" s="37" t="n"/>
      <c r="R36" s="37" t="n"/>
      <c r="S36" s="37" t="n"/>
      <c r="T36" s="37" t="n"/>
      <c r="U36" s="37" t="n"/>
      <c r="V36" s="37" t="n"/>
      <c r="W36" s="37" t="n"/>
      <c r="X36" s="37" t="n"/>
      <c r="Y36" s="37" t="n"/>
      <c r="Z36" s="37" t="n"/>
      <c r="AA36" s="37" t="n"/>
      <c r="AB36" s="37" t="n"/>
      <c r="AC36" s="37" t="n"/>
      <c r="AD36" s="37" t="n"/>
      <c r="AE36" s="37" t="n"/>
      <c r="AF36" s="37" t="n"/>
      <c r="AG36" s="37" t="n"/>
      <c r="AH36" s="37" t="n"/>
      <c r="AI36" s="39">
        <f>IF($B36="","",COUNTIF(D36:AH36,"P"))</f>
        <v/>
      </c>
      <c r="AJ36" s="39">
        <f>IF($B36="","",COUNTIF(D36:AH36,"R"))</f>
        <v/>
      </c>
      <c r="AK36" s="39">
        <f>IF($B36="","",COUNTIF(D36:AH36,"A"))</f>
        <v/>
      </c>
      <c r="AL36" s="39">
        <f>IF($B36="","",COUNTIF(D36:AH36,"C"))</f>
        <v/>
      </c>
      <c r="AM36" s="39">
        <f>IF($B36="","",COUNTIF(D36:AH36,"M"))</f>
        <v/>
      </c>
      <c r="AN36" s="40">
        <f>IF($B36="","",IF(AI36+AJ36+AK36+AM36=0,"",(AI36+AJ36)/(AI36+AJ36+AK36+AM36)))</f>
        <v/>
      </c>
      <c r="AO36" s="41">
        <f>IF($B36="","",IF('Employés'!D34="","",(AI36+AJ36+AL36)*'Employés'!D34))</f>
        <v/>
      </c>
    </row>
    <row r="37">
      <c r="A37" s="42" t="n"/>
      <c r="B37" s="42" t="inlineStr">
        <is>
          <t>TOTAL</t>
        </is>
      </c>
      <c r="C37" s="42" t="n"/>
      <c r="D37" s="42" t="n"/>
      <c r="E37" s="42" t="n"/>
      <c r="F37" s="42" t="n"/>
      <c r="G37" s="42" t="n"/>
      <c r="H37" s="42" t="n"/>
      <c r="I37" s="42" t="n"/>
      <c r="J37" s="42" t="n"/>
      <c r="K37" s="42" t="n"/>
      <c r="L37" s="42" t="n"/>
      <c r="M37" s="42" t="n"/>
      <c r="N37" s="42" t="n"/>
      <c r="O37" s="42" t="n"/>
      <c r="P37" s="42" t="n"/>
      <c r="Q37" s="42" t="n"/>
      <c r="R37" s="42" t="n"/>
      <c r="S37" s="42" t="n"/>
      <c r="T37" s="42" t="n"/>
      <c r="U37" s="42" t="n"/>
      <c r="V37" s="42" t="n"/>
      <c r="W37" s="42" t="n"/>
      <c r="X37" s="42" t="n"/>
      <c r="Y37" s="42" t="n"/>
      <c r="Z37" s="42" t="n"/>
      <c r="AA37" s="42" t="n"/>
      <c r="AB37" s="42" t="n"/>
      <c r="AC37" s="42" t="n"/>
      <c r="AD37" s="42" t="n"/>
      <c r="AE37" s="42" t="n"/>
      <c r="AF37" s="42" t="n"/>
      <c r="AG37" s="42" t="n"/>
      <c r="AH37" s="42" t="n"/>
      <c r="AI37" s="42">
        <f>SUM(AI7:AI36)</f>
        <v/>
      </c>
      <c r="AJ37" s="42">
        <f>SUM(AJ7:AJ36)</f>
        <v/>
      </c>
      <c r="AK37" s="42">
        <f>SUM(AK7:AK36)</f>
        <v/>
      </c>
      <c r="AL37" s="42">
        <f>SUM(AL7:AL36)</f>
        <v/>
      </c>
      <c r="AM37" s="42">
        <f>SUM(AM7:AM36)</f>
        <v/>
      </c>
      <c r="AN37" s="42" t="n"/>
      <c r="AO37" s="43">
        <f>SUM(AO7:AO36)</f>
        <v/>
      </c>
    </row>
  </sheetData>
  <mergeCells count="17">
    <mergeCell ref="A5:A6"/>
    <mergeCell ref="A2:AO2"/>
    <mergeCell ref="AI5:AI6"/>
    <mergeCell ref="D3:G3"/>
    <mergeCell ref="S3:V3"/>
    <mergeCell ref="X3:AA3"/>
    <mergeCell ref="AJ5:AJ6"/>
    <mergeCell ref="AK5:AK6"/>
    <mergeCell ref="I3:L3"/>
    <mergeCell ref="AL5:AL6"/>
    <mergeCell ref="AM5:AM6"/>
    <mergeCell ref="AN5:AN6"/>
    <mergeCell ref="A1:AO1"/>
    <mergeCell ref="N3:Q3"/>
    <mergeCell ref="AO5:AO6"/>
    <mergeCell ref="B5:B6"/>
    <mergeCell ref="C5:C6"/>
  </mergeCells>
  <conditionalFormatting sqref="D7:AH36">
    <cfRule type="expression" priority="1" dxfId="0">
      <formula>UPPER(D7)="P"</formula>
    </cfRule>
    <cfRule type="expression" priority="2" dxfId="1">
      <formula>UPPER(D7)="R"</formula>
    </cfRule>
    <cfRule type="expression" priority="3" dxfId="2">
      <formula>UPPER(D7)="A"</formula>
    </cfRule>
    <cfRule type="expression" priority="4" dxfId="3">
      <formula>UPPER(D7)="C"</formula>
    </cfRule>
    <cfRule type="expression" priority="5" dxfId="4">
      <formula>UPPER(D7)="M"</formula>
    </cfRule>
    <cfRule type="expression" priority="6" dxfId="5">
      <formula>OR(D$6="Sam",D$6="Dim",D$5="")</formula>
    </cfRule>
  </conditionalFormatting>
  <dataValidations count="1">
    <dataValidation sqref="D7:AH36" showDropDown="0" showInputMessage="0" showErrorMessage="1" allowBlank="1" errorTitle="Code inconnu" error="Utilisez P, R, A, C ou M." type="list">
      <formula1>"P,R,A,C,M"</formula1>
    </dataValidation>
  </dataValidations>
  <pageMargins left="0.75" right="0.75" top="1" bottom="1" header="0.5" footer="0.5"/>
  <pageSetup orientation="landscape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AO37"/>
  <sheetViews>
    <sheetView zoomScale="90" workbookViewId="0">
      <pane xSplit="3" ySplit="6" topLeftCell="D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24" customWidth="1" min="2" max="2"/>
    <col width="14" customWidth="1" min="3" max="3"/>
    <col width="4.6" customWidth="1" min="4" max="4"/>
    <col width="4.6" customWidth="1" min="5" max="5"/>
    <col width="4.6" customWidth="1" min="6" max="6"/>
    <col width="4.6" customWidth="1" min="7" max="7"/>
    <col width="4.6" customWidth="1" min="8" max="8"/>
    <col width="4.6" customWidth="1" min="9" max="9"/>
    <col width="4.6" customWidth="1" min="10" max="10"/>
    <col width="4.6" customWidth="1" min="11" max="11"/>
    <col width="4.6" customWidth="1" min="12" max="12"/>
    <col width="4.6" customWidth="1" min="13" max="13"/>
    <col width="4.6" customWidth="1" min="14" max="14"/>
    <col width="4.6" customWidth="1" min="15" max="15"/>
    <col width="4.6" customWidth="1" min="16" max="16"/>
    <col width="4.6" customWidth="1" min="17" max="17"/>
    <col width="4.6" customWidth="1" min="18" max="18"/>
    <col width="4.6" customWidth="1" min="19" max="19"/>
    <col width="4.6" customWidth="1" min="20" max="20"/>
    <col width="4.6" customWidth="1" min="21" max="21"/>
    <col width="4.6" customWidth="1" min="22" max="22"/>
    <col width="4.6" customWidth="1" min="23" max="23"/>
    <col width="4.6" customWidth="1" min="24" max="24"/>
    <col width="4.6" customWidth="1" min="25" max="25"/>
    <col width="4.6" customWidth="1" min="26" max="26"/>
    <col width="4.6" customWidth="1" min="27" max="27"/>
    <col width="4.6" customWidth="1" min="28" max="28"/>
    <col width="4.6" customWidth="1" min="29" max="29"/>
    <col width="4.6" customWidth="1" min="30" max="30"/>
    <col width="4.6" customWidth="1" min="31" max="31"/>
    <col width="4.6" customWidth="1" min="32" max="32"/>
    <col width="4.6" customWidth="1" min="33" max="33"/>
    <col width="4.6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13" customWidth="1" min="40" max="40"/>
    <col width="13" customWidth="1" min="41" max="41"/>
  </cols>
  <sheetData>
    <row r="1" ht="34" customHeight="1">
      <c r="A1" s="1">
        <f>'Paramètres'!$B$4&amp;" · Pointage de Août "&amp;'Paramètres'!$B$5</f>
        <v/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</row>
    <row r="2" ht="20" customHeight="1">
      <c r="A2" s="3" t="inlineStr">
        <is>
          <t>Outil offert par Logia (DWTS) · Un logiciel sur mesure pour votre entreprise ? WhatsApp 062 67 14 45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2" t="n"/>
      <c r="AL2" s="2" t="n"/>
      <c r="AM2" s="2" t="n"/>
      <c r="AN2" s="2" t="n"/>
      <c r="AO2" s="2" t="n"/>
    </row>
    <row r="3">
      <c r="A3" s="6" t="inlineStr">
        <is>
          <t>Codes :</t>
        </is>
      </c>
      <c r="D3" s="30" t="inlineStr">
        <is>
          <t>P = Présent</t>
        </is>
      </c>
      <c r="I3" s="31" t="inlineStr">
        <is>
          <t>R = En retard</t>
        </is>
      </c>
      <c r="N3" s="32" t="inlineStr">
        <is>
          <t>A = Absent</t>
        </is>
      </c>
      <c r="S3" s="33" t="inlineStr">
        <is>
          <t>C = Congé</t>
        </is>
      </c>
      <c r="X3" s="34" t="inlineStr">
        <is>
          <t>M = Malade</t>
        </is>
      </c>
    </row>
    <row r="5" ht="22" customHeight="1">
      <c r="A5" s="35" t="inlineStr">
        <is>
          <t>ID</t>
        </is>
      </c>
      <c r="B5" s="35" t="inlineStr">
        <is>
          <t>Nom</t>
        </is>
      </c>
      <c r="C5" s="35" t="inlineStr">
        <is>
          <t>Poste</t>
        </is>
      </c>
      <c r="D5" s="35">
        <f>IF(MONTH(DATE('Paramètres'!$B$5,8,1))=8,1,"")</f>
        <v/>
      </c>
      <c r="E5" s="35">
        <f>IF(MONTH(DATE('Paramètres'!$B$5,8,2))=8,2,"")</f>
        <v/>
      </c>
      <c r="F5" s="35">
        <f>IF(MONTH(DATE('Paramètres'!$B$5,8,3))=8,3,"")</f>
        <v/>
      </c>
      <c r="G5" s="35">
        <f>IF(MONTH(DATE('Paramètres'!$B$5,8,4))=8,4,"")</f>
        <v/>
      </c>
      <c r="H5" s="35">
        <f>IF(MONTH(DATE('Paramètres'!$B$5,8,5))=8,5,"")</f>
        <v/>
      </c>
      <c r="I5" s="35">
        <f>IF(MONTH(DATE('Paramètres'!$B$5,8,6))=8,6,"")</f>
        <v/>
      </c>
      <c r="J5" s="35">
        <f>IF(MONTH(DATE('Paramètres'!$B$5,8,7))=8,7,"")</f>
        <v/>
      </c>
      <c r="K5" s="35">
        <f>IF(MONTH(DATE('Paramètres'!$B$5,8,8))=8,8,"")</f>
        <v/>
      </c>
      <c r="L5" s="35">
        <f>IF(MONTH(DATE('Paramètres'!$B$5,8,9))=8,9,"")</f>
        <v/>
      </c>
      <c r="M5" s="35">
        <f>IF(MONTH(DATE('Paramètres'!$B$5,8,10))=8,10,"")</f>
        <v/>
      </c>
      <c r="N5" s="35">
        <f>IF(MONTH(DATE('Paramètres'!$B$5,8,11))=8,11,"")</f>
        <v/>
      </c>
      <c r="O5" s="35">
        <f>IF(MONTH(DATE('Paramètres'!$B$5,8,12))=8,12,"")</f>
        <v/>
      </c>
      <c r="P5" s="35">
        <f>IF(MONTH(DATE('Paramètres'!$B$5,8,13))=8,13,"")</f>
        <v/>
      </c>
      <c r="Q5" s="35">
        <f>IF(MONTH(DATE('Paramètres'!$B$5,8,14))=8,14,"")</f>
        <v/>
      </c>
      <c r="R5" s="35">
        <f>IF(MONTH(DATE('Paramètres'!$B$5,8,15))=8,15,"")</f>
        <v/>
      </c>
      <c r="S5" s="35">
        <f>IF(MONTH(DATE('Paramètres'!$B$5,8,16))=8,16,"")</f>
        <v/>
      </c>
      <c r="T5" s="35">
        <f>IF(MONTH(DATE('Paramètres'!$B$5,8,17))=8,17,"")</f>
        <v/>
      </c>
      <c r="U5" s="35">
        <f>IF(MONTH(DATE('Paramètres'!$B$5,8,18))=8,18,"")</f>
        <v/>
      </c>
      <c r="V5" s="35">
        <f>IF(MONTH(DATE('Paramètres'!$B$5,8,19))=8,19,"")</f>
        <v/>
      </c>
      <c r="W5" s="35">
        <f>IF(MONTH(DATE('Paramètres'!$B$5,8,20))=8,20,"")</f>
        <v/>
      </c>
      <c r="X5" s="35">
        <f>IF(MONTH(DATE('Paramètres'!$B$5,8,21))=8,21,"")</f>
        <v/>
      </c>
      <c r="Y5" s="35">
        <f>IF(MONTH(DATE('Paramètres'!$B$5,8,22))=8,22,"")</f>
        <v/>
      </c>
      <c r="Z5" s="35">
        <f>IF(MONTH(DATE('Paramètres'!$B$5,8,23))=8,23,"")</f>
        <v/>
      </c>
      <c r="AA5" s="35">
        <f>IF(MONTH(DATE('Paramètres'!$B$5,8,24))=8,24,"")</f>
        <v/>
      </c>
      <c r="AB5" s="35">
        <f>IF(MONTH(DATE('Paramètres'!$B$5,8,25))=8,25,"")</f>
        <v/>
      </c>
      <c r="AC5" s="35">
        <f>IF(MONTH(DATE('Paramètres'!$B$5,8,26))=8,26,"")</f>
        <v/>
      </c>
      <c r="AD5" s="35">
        <f>IF(MONTH(DATE('Paramètres'!$B$5,8,27))=8,27,"")</f>
        <v/>
      </c>
      <c r="AE5" s="35">
        <f>IF(MONTH(DATE('Paramètres'!$B$5,8,28))=8,28,"")</f>
        <v/>
      </c>
      <c r="AF5" s="35">
        <f>IF(MONTH(DATE('Paramètres'!$B$5,8,29))=8,29,"")</f>
        <v/>
      </c>
      <c r="AG5" s="35">
        <f>IF(MONTH(DATE('Paramètres'!$B$5,8,30))=8,30,"")</f>
        <v/>
      </c>
      <c r="AH5" s="35">
        <f>IF(MONTH(DATE('Paramètres'!$B$5,8,31))=8,31,"")</f>
        <v/>
      </c>
      <c r="AI5" s="36" t="inlineStr">
        <is>
          <t>Présent</t>
        </is>
      </c>
      <c r="AJ5" s="36" t="inlineStr">
        <is>
          <t>Retard</t>
        </is>
      </c>
      <c r="AK5" s="36" t="inlineStr">
        <is>
          <t>Absent</t>
        </is>
      </c>
      <c r="AL5" s="36" t="inlineStr">
        <is>
          <t>Congé</t>
        </is>
      </c>
      <c r="AM5" s="36" t="inlineStr">
        <is>
          <t>Malade</t>
        </is>
      </c>
      <c r="AN5" s="36" t="inlineStr">
        <is>
          <t>Taux de présence</t>
        </is>
      </c>
      <c r="AO5" s="36" t="inlineStr">
        <is>
          <t>Salaire dû</t>
        </is>
      </c>
    </row>
    <row r="6" ht="22" customHeight="1">
      <c r="A6" s="35" t="n"/>
      <c r="B6" s="35" t="n"/>
      <c r="C6" s="35" t="n"/>
      <c r="D6" s="35">
        <f>IF(D5="","",CHOOSE(WEEKDAY(DATE('Paramètres'!$B$5,8,1),2),"Lun","Mar","Mer","Jeu","Ven","Sam","Dim"))</f>
        <v/>
      </c>
      <c r="E6" s="35">
        <f>IF(E5="","",CHOOSE(WEEKDAY(DATE('Paramètres'!$B$5,8,2),2),"Lun","Mar","Mer","Jeu","Ven","Sam","Dim"))</f>
        <v/>
      </c>
      <c r="F6" s="35">
        <f>IF(F5="","",CHOOSE(WEEKDAY(DATE('Paramètres'!$B$5,8,3),2),"Lun","Mar","Mer","Jeu","Ven","Sam","Dim"))</f>
        <v/>
      </c>
      <c r="G6" s="35">
        <f>IF(G5="","",CHOOSE(WEEKDAY(DATE('Paramètres'!$B$5,8,4),2),"Lun","Mar","Mer","Jeu","Ven","Sam","Dim"))</f>
        <v/>
      </c>
      <c r="H6" s="35">
        <f>IF(H5="","",CHOOSE(WEEKDAY(DATE('Paramètres'!$B$5,8,5),2),"Lun","Mar","Mer","Jeu","Ven","Sam","Dim"))</f>
        <v/>
      </c>
      <c r="I6" s="35">
        <f>IF(I5="","",CHOOSE(WEEKDAY(DATE('Paramètres'!$B$5,8,6),2),"Lun","Mar","Mer","Jeu","Ven","Sam","Dim"))</f>
        <v/>
      </c>
      <c r="J6" s="35">
        <f>IF(J5="","",CHOOSE(WEEKDAY(DATE('Paramètres'!$B$5,8,7),2),"Lun","Mar","Mer","Jeu","Ven","Sam","Dim"))</f>
        <v/>
      </c>
      <c r="K6" s="35">
        <f>IF(K5="","",CHOOSE(WEEKDAY(DATE('Paramètres'!$B$5,8,8),2),"Lun","Mar","Mer","Jeu","Ven","Sam","Dim"))</f>
        <v/>
      </c>
      <c r="L6" s="35">
        <f>IF(L5="","",CHOOSE(WEEKDAY(DATE('Paramètres'!$B$5,8,9),2),"Lun","Mar","Mer","Jeu","Ven","Sam","Dim"))</f>
        <v/>
      </c>
      <c r="M6" s="35">
        <f>IF(M5="","",CHOOSE(WEEKDAY(DATE('Paramètres'!$B$5,8,10),2),"Lun","Mar","Mer","Jeu","Ven","Sam","Dim"))</f>
        <v/>
      </c>
      <c r="N6" s="35">
        <f>IF(N5="","",CHOOSE(WEEKDAY(DATE('Paramètres'!$B$5,8,11),2),"Lun","Mar","Mer","Jeu","Ven","Sam","Dim"))</f>
        <v/>
      </c>
      <c r="O6" s="35">
        <f>IF(O5="","",CHOOSE(WEEKDAY(DATE('Paramètres'!$B$5,8,12),2),"Lun","Mar","Mer","Jeu","Ven","Sam","Dim"))</f>
        <v/>
      </c>
      <c r="P6" s="35">
        <f>IF(P5="","",CHOOSE(WEEKDAY(DATE('Paramètres'!$B$5,8,13),2),"Lun","Mar","Mer","Jeu","Ven","Sam","Dim"))</f>
        <v/>
      </c>
      <c r="Q6" s="35">
        <f>IF(Q5="","",CHOOSE(WEEKDAY(DATE('Paramètres'!$B$5,8,14),2),"Lun","Mar","Mer","Jeu","Ven","Sam","Dim"))</f>
        <v/>
      </c>
      <c r="R6" s="35">
        <f>IF(R5="","",CHOOSE(WEEKDAY(DATE('Paramètres'!$B$5,8,15),2),"Lun","Mar","Mer","Jeu","Ven","Sam","Dim"))</f>
        <v/>
      </c>
      <c r="S6" s="35">
        <f>IF(S5="","",CHOOSE(WEEKDAY(DATE('Paramètres'!$B$5,8,16),2),"Lun","Mar","Mer","Jeu","Ven","Sam","Dim"))</f>
        <v/>
      </c>
      <c r="T6" s="35">
        <f>IF(T5="","",CHOOSE(WEEKDAY(DATE('Paramètres'!$B$5,8,17),2),"Lun","Mar","Mer","Jeu","Ven","Sam","Dim"))</f>
        <v/>
      </c>
      <c r="U6" s="35">
        <f>IF(U5="","",CHOOSE(WEEKDAY(DATE('Paramètres'!$B$5,8,18),2),"Lun","Mar","Mer","Jeu","Ven","Sam","Dim"))</f>
        <v/>
      </c>
      <c r="V6" s="35">
        <f>IF(V5="","",CHOOSE(WEEKDAY(DATE('Paramètres'!$B$5,8,19),2),"Lun","Mar","Mer","Jeu","Ven","Sam","Dim"))</f>
        <v/>
      </c>
      <c r="W6" s="35">
        <f>IF(W5="","",CHOOSE(WEEKDAY(DATE('Paramètres'!$B$5,8,20),2),"Lun","Mar","Mer","Jeu","Ven","Sam","Dim"))</f>
        <v/>
      </c>
      <c r="X6" s="35">
        <f>IF(X5="","",CHOOSE(WEEKDAY(DATE('Paramètres'!$B$5,8,21),2),"Lun","Mar","Mer","Jeu","Ven","Sam","Dim"))</f>
        <v/>
      </c>
      <c r="Y6" s="35">
        <f>IF(Y5="","",CHOOSE(WEEKDAY(DATE('Paramètres'!$B$5,8,22),2),"Lun","Mar","Mer","Jeu","Ven","Sam","Dim"))</f>
        <v/>
      </c>
      <c r="Z6" s="35">
        <f>IF(Z5="","",CHOOSE(WEEKDAY(DATE('Paramètres'!$B$5,8,23),2),"Lun","Mar","Mer","Jeu","Ven","Sam","Dim"))</f>
        <v/>
      </c>
      <c r="AA6" s="35">
        <f>IF(AA5="","",CHOOSE(WEEKDAY(DATE('Paramètres'!$B$5,8,24),2),"Lun","Mar","Mer","Jeu","Ven","Sam","Dim"))</f>
        <v/>
      </c>
      <c r="AB6" s="35">
        <f>IF(AB5="","",CHOOSE(WEEKDAY(DATE('Paramètres'!$B$5,8,25),2),"Lun","Mar","Mer","Jeu","Ven","Sam","Dim"))</f>
        <v/>
      </c>
      <c r="AC6" s="35">
        <f>IF(AC5="","",CHOOSE(WEEKDAY(DATE('Paramètres'!$B$5,8,26),2),"Lun","Mar","Mer","Jeu","Ven","Sam","Dim"))</f>
        <v/>
      </c>
      <c r="AD6" s="35">
        <f>IF(AD5="","",CHOOSE(WEEKDAY(DATE('Paramètres'!$B$5,8,27),2),"Lun","Mar","Mer","Jeu","Ven","Sam","Dim"))</f>
        <v/>
      </c>
      <c r="AE6" s="35">
        <f>IF(AE5="","",CHOOSE(WEEKDAY(DATE('Paramètres'!$B$5,8,28),2),"Lun","Mar","Mer","Jeu","Ven","Sam","Dim"))</f>
        <v/>
      </c>
      <c r="AF6" s="35">
        <f>IF(AF5="","",CHOOSE(WEEKDAY(DATE('Paramètres'!$B$5,8,29),2),"Lun","Mar","Mer","Jeu","Ven","Sam","Dim"))</f>
        <v/>
      </c>
      <c r="AG6" s="35">
        <f>IF(AG5="","",CHOOSE(WEEKDAY(DATE('Paramètres'!$B$5,8,30),2),"Lun","Mar","Mer","Jeu","Ven","Sam","Dim"))</f>
        <v/>
      </c>
      <c r="AH6" s="35">
        <f>IF(AH5="","",CHOOSE(WEEKDAY(DATE('Paramètres'!$B$5,8,31),2),"Lun","Mar","Mer","Jeu","Ven","Sam","Dim"))</f>
        <v/>
      </c>
      <c r="AI6" s="36" t="n"/>
      <c r="AJ6" s="36" t="n"/>
      <c r="AK6" s="36" t="n"/>
      <c r="AL6" s="36" t="n"/>
      <c r="AM6" s="36" t="n"/>
      <c r="AN6" s="36" t="n"/>
      <c r="AO6" s="36" t="n"/>
    </row>
    <row r="7" ht="20" customHeight="1">
      <c r="A7" s="37">
        <f>IF('Employés'!B5="","",'Employés'!A5)</f>
        <v/>
      </c>
      <c r="B7" s="38">
        <f>IF('Employés'!B5="","",'Employés'!B5)</f>
        <v/>
      </c>
      <c r="C7" s="38">
        <f>IF('Employés'!C5="","",'Employés'!C5)</f>
        <v/>
      </c>
      <c r="D7" s="37" t="n"/>
      <c r="E7" s="37" t="n"/>
      <c r="F7" s="37" t="n"/>
      <c r="G7" s="37" t="n"/>
      <c r="H7" s="37" t="n"/>
      <c r="I7" s="37" t="n"/>
      <c r="J7" s="37" t="n"/>
      <c r="K7" s="37" t="n"/>
      <c r="L7" s="37" t="n"/>
      <c r="M7" s="37" t="n"/>
      <c r="N7" s="37" t="n"/>
      <c r="O7" s="37" t="n"/>
      <c r="P7" s="37" t="n"/>
      <c r="Q7" s="37" t="n"/>
      <c r="R7" s="37" t="n"/>
      <c r="S7" s="37" t="n"/>
      <c r="T7" s="37" t="n"/>
      <c r="U7" s="37" t="n"/>
      <c r="V7" s="37" t="n"/>
      <c r="W7" s="37" t="n"/>
      <c r="X7" s="37" t="n"/>
      <c r="Y7" s="37" t="n"/>
      <c r="Z7" s="37" t="n"/>
      <c r="AA7" s="37" t="n"/>
      <c r="AB7" s="37" t="n"/>
      <c r="AC7" s="37" t="n"/>
      <c r="AD7" s="37" t="n"/>
      <c r="AE7" s="37" t="n"/>
      <c r="AF7" s="37" t="n"/>
      <c r="AG7" s="37" t="n"/>
      <c r="AH7" s="37" t="n"/>
      <c r="AI7" s="39">
        <f>IF($B7="","",COUNTIF(D7:AH7,"P"))</f>
        <v/>
      </c>
      <c r="AJ7" s="39">
        <f>IF($B7="","",COUNTIF(D7:AH7,"R"))</f>
        <v/>
      </c>
      <c r="AK7" s="39">
        <f>IF($B7="","",COUNTIF(D7:AH7,"A"))</f>
        <v/>
      </c>
      <c r="AL7" s="39">
        <f>IF($B7="","",COUNTIF(D7:AH7,"C"))</f>
        <v/>
      </c>
      <c r="AM7" s="39">
        <f>IF($B7="","",COUNTIF(D7:AH7,"M"))</f>
        <v/>
      </c>
      <c r="AN7" s="40">
        <f>IF($B7="","",IF(AI7+AJ7+AK7+AM7=0,"",(AI7+AJ7)/(AI7+AJ7+AK7+AM7)))</f>
        <v/>
      </c>
      <c r="AO7" s="41">
        <f>IF($B7="","",IF('Employés'!D5="","",(AI7+AJ7+AL7)*'Employés'!D5))</f>
        <v/>
      </c>
    </row>
    <row r="8" ht="20" customHeight="1">
      <c r="A8" s="37">
        <f>IF('Employés'!B6="","",'Employés'!A6)</f>
        <v/>
      </c>
      <c r="B8" s="38">
        <f>IF('Employés'!B6="","",'Employés'!B6)</f>
        <v/>
      </c>
      <c r="C8" s="38">
        <f>IF('Employés'!C6="","",'Employés'!C6)</f>
        <v/>
      </c>
      <c r="D8" s="37" t="n"/>
      <c r="E8" s="37" t="n"/>
      <c r="F8" s="37" t="n"/>
      <c r="G8" s="37" t="n"/>
      <c r="H8" s="37" t="n"/>
      <c r="I8" s="37" t="n"/>
      <c r="J8" s="37" t="n"/>
      <c r="K8" s="37" t="n"/>
      <c r="L8" s="37" t="n"/>
      <c r="M8" s="37" t="n"/>
      <c r="N8" s="37" t="n"/>
      <c r="O8" s="37" t="n"/>
      <c r="P8" s="37" t="n"/>
      <c r="Q8" s="37" t="n"/>
      <c r="R8" s="37" t="n"/>
      <c r="S8" s="37" t="n"/>
      <c r="T8" s="37" t="n"/>
      <c r="U8" s="37" t="n"/>
      <c r="V8" s="37" t="n"/>
      <c r="W8" s="37" t="n"/>
      <c r="X8" s="37" t="n"/>
      <c r="Y8" s="37" t="n"/>
      <c r="Z8" s="37" t="n"/>
      <c r="AA8" s="37" t="n"/>
      <c r="AB8" s="37" t="n"/>
      <c r="AC8" s="37" t="n"/>
      <c r="AD8" s="37" t="n"/>
      <c r="AE8" s="37" t="n"/>
      <c r="AF8" s="37" t="n"/>
      <c r="AG8" s="37" t="n"/>
      <c r="AH8" s="37" t="n"/>
      <c r="AI8" s="39">
        <f>IF($B8="","",COUNTIF(D8:AH8,"P"))</f>
        <v/>
      </c>
      <c r="AJ8" s="39">
        <f>IF($B8="","",COUNTIF(D8:AH8,"R"))</f>
        <v/>
      </c>
      <c r="AK8" s="39">
        <f>IF($B8="","",COUNTIF(D8:AH8,"A"))</f>
        <v/>
      </c>
      <c r="AL8" s="39">
        <f>IF($B8="","",COUNTIF(D8:AH8,"C"))</f>
        <v/>
      </c>
      <c r="AM8" s="39">
        <f>IF($B8="","",COUNTIF(D8:AH8,"M"))</f>
        <v/>
      </c>
      <c r="AN8" s="40">
        <f>IF($B8="","",IF(AI8+AJ8+AK8+AM8=0,"",(AI8+AJ8)/(AI8+AJ8+AK8+AM8)))</f>
        <v/>
      </c>
      <c r="AO8" s="41">
        <f>IF($B8="","",IF('Employés'!D6="","",(AI8+AJ8+AL8)*'Employés'!D6))</f>
        <v/>
      </c>
    </row>
    <row r="9" ht="20" customHeight="1">
      <c r="A9" s="37">
        <f>IF('Employés'!B7="","",'Employés'!A7)</f>
        <v/>
      </c>
      <c r="B9" s="38">
        <f>IF('Employés'!B7="","",'Employés'!B7)</f>
        <v/>
      </c>
      <c r="C9" s="38">
        <f>IF('Employés'!C7="","",'Employés'!C7)</f>
        <v/>
      </c>
      <c r="D9" s="37" t="n"/>
      <c r="E9" s="37" t="n"/>
      <c r="F9" s="37" t="n"/>
      <c r="G9" s="37" t="n"/>
      <c r="H9" s="37" t="n"/>
      <c r="I9" s="37" t="n"/>
      <c r="J9" s="37" t="n"/>
      <c r="K9" s="37" t="n"/>
      <c r="L9" s="37" t="n"/>
      <c r="M9" s="37" t="n"/>
      <c r="N9" s="37" t="n"/>
      <c r="O9" s="37" t="n"/>
      <c r="P9" s="37" t="n"/>
      <c r="Q9" s="37" t="n"/>
      <c r="R9" s="37" t="n"/>
      <c r="S9" s="37" t="n"/>
      <c r="T9" s="37" t="n"/>
      <c r="U9" s="37" t="n"/>
      <c r="V9" s="37" t="n"/>
      <c r="W9" s="37" t="n"/>
      <c r="X9" s="37" t="n"/>
      <c r="Y9" s="37" t="n"/>
      <c r="Z9" s="37" t="n"/>
      <c r="AA9" s="37" t="n"/>
      <c r="AB9" s="37" t="n"/>
      <c r="AC9" s="37" t="n"/>
      <c r="AD9" s="37" t="n"/>
      <c r="AE9" s="37" t="n"/>
      <c r="AF9" s="37" t="n"/>
      <c r="AG9" s="37" t="n"/>
      <c r="AH9" s="37" t="n"/>
      <c r="AI9" s="39">
        <f>IF($B9="","",COUNTIF(D9:AH9,"P"))</f>
        <v/>
      </c>
      <c r="AJ9" s="39">
        <f>IF($B9="","",COUNTIF(D9:AH9,"R"))</f>
        <v/>
      </c>
      <c r="AK9" s="39">
        <f>IF($B9="","",COUNTIF(D9:AH9,"A"))</f>
        <v/>
      </c>
      <c r="AL9" s="39">
        <f>IF($B9="","",COUNTIF(D9:AH9,"C"))</f>
        <v/>
      </c>
      <c r="AM9" s="39">
        <f>IF($B9="","",COUNTIF(D9:AH9,"M"))</f>
        <v/>
      </c>
      <c r="AN9" s="40">
        <f>IF($B9="","",IF(AI9+AJ9+AK9+AM9=0,"",(AI9+AJ9)/(AI9+AJ9+AK9+AM9)))</f>
        <v/>
      </c>
      <c r="AO9" s="41">
        <f>IF($B9="","",IF('Employés'!D7="","",(AI9+AJ9+AL9)*'Employés'!D7))</f>
        <v/>
      </c>
    </row>
    <row r="10" ht="20" customHeight="1">
      <c r="A10" s="37">
        <f>IF('Employés'!B8="","",'Employés'!A8)</f>
        <v/>
      </c>
      <c r="B10" s="38">
        <f>IF('Employés'!B8="","",'Employés'!B8)</f>
        <v/>
      </c>
      <c r="C10" s="38">
        <f>IF('Employés'!C8="","",'Employés'!C8)</f>
        <v/>
      </c>
      <c r="D10" s="37" t="n"/>
      <c r="E10" s="37" t="n"/>
      <c r="F10" s="37" t="n"/>
      <c r="G10" s="37" t="n"/>
      <c r="H10" s="37" t="n"/>
      <c r="I10" s="37" t="n"/>
      <c r="J10" s="37" t="n"/>
      <c r="K10" s="37" t="n"/>
      <c r="L10" s="37" t="n"/>
      <c r="M10" s="37" t="n"/>
      <c r="N10" s="37" t="n"/>
      <c r="O10" s="37" t="n"/>
      <c r="P10" s="37" t="n"/>
      <c r="Q10" s="37" t="n"/>
      <c r="R10" s="37" t="n"/>
      <c r="S10" s="37" t="n"/>
      <c r="T10" s="37" t="n"/>
      <c r="U10" s="37" t="n"/>
      <c r="V10" s="37" t="n"/>
      <c r="W10" s="37" t="n"/>
      <c r="X10" s="37" t="n"/>
      <c r="Y10" s="37" t="n"/>
      <c r="Z10" s="37" t="n"/>
      <c r="AA10" s="37" t="n"/>
      <c r="AB10" s="37" t="n"/>
      <c r="AC10" s="37" t="n"/>
      <c r="AD10" s="37" t="n"/>
      <c r="AE10" s="37" t="n"/>
      <c r="AF10" s="37" t="n"/>
      <c r="AG10" s="37" t="n"/>
      <c r="AH10" s="37" t="n"/>
      <c r="AI10" s="39">
        <f>IF($B10="","",COUNTIF(D10:AH10,"P"))</f>
        <v/>
      </c>
      <c r="AJ10" s="39">
        <f>IF($B10="","",COUNTIF(D10:AH10,"R"))</f>
        <v/>
      </c>
      <c r="AK10" s="39">
        <f>IF($B10="","",COUNTIF(D10:AH10,"A"))</f>
        <v/>
      </c>
      <c r="AL10" s="39">
        <f>IF($B10="","",COUNTIF(D10:AH10,"C"))</f>
        <v/>
      </c>
      <c r="AM10" s="39">
        <f>IF($B10="","",COUNTIF(D10:AH10,"M"))</f>
        <v/>
      </c>
      <c r="AN10" s="40">
        <f>IF($B10="","",IF(AI10+AJ10+AK10+AM10=0,"",(AI10+AJ10)/(AI10+AJ10+AK10+AM10)))</f>
        <v/>
      </c>
      <c r="AO10" s="41">
        <f>IF($B10="","",IF('Employés'!D8="","",(AI10+AJ10+AL10)*'Employés'!D8))</f>
        <v/>
      </c>
    </row>
    <row r="11" ht="20" customHeight="1">
      <c r="A11" s="37">
        <f>IF('Employés'!B9="","",'Employés'!A9)</f>
        <v/>
      </c>
      <c r="B11" s="38">
        <f>IF('Employés'!B9="","",'Employés'!B9)</f>
        <v/>
      </c>
      <c r="C11" s="38">
        <f>IF('Employés'!C9="","",'Employés'!C9)</f>
        <v/>
      </c>
      <c r="D11" s="37" t="n"/>
      <c r="E11" s="37" t="n"/>
      <c r="F11" s="37" t="n"/>
      <c r="G11" s="37" t="n"/>
      <c r="H11" s="37" t="n"/>
      <c r="I11" s="37" t="n"/>
      <c r="J11" s="37" t="n"/>
      <c r="K11" s="37" t="n"/>
      <c r="L11" s="37" t="n"/>
      <c r="M11" s="37" t="n"/>
      <c r="N11" s="37" t="n"/>
      <c r="O11" s="37" t="n"/>
      <c r="P11" s="37" t="n"/>
      <c r="Q11" s="37" t="n"/>
      <c r="R11" s="37" t="n"/>
      <c r="S11" s="37" t="n"/>
      <c r="T11" s="37" t="n"/>
      <c r="U11" s="37" t="n"/>
      <c r="V11" s="37" t="n"/>
      <c r="W11" s="37" t="n"/>
      <c r="X11" s="37" t="n"/>
      <c r="Y11" s="37" t="n"/>
      <c r="Z11" s="37" t="n"/>
      <c r="AA11" s="37" t="n"/>
      <c r="AB11" s="37" t="n"/>
      <c r="AC11" s="37" t="n"/>
      <c r="AD11" s="37" t="n"/>
      <c r="AE11" s="37" t="n"/>
      <c r="AF11" s="37" t="n"/>
      <c r="AG11" s="37" t="n"/>
      <c r="AH11" s="37" t="n"/>
      <c r="AI11" s="39">
        <f>IF($B11="","",COUNTIF(D11:AH11,"P"))</f>
        <v/>
      </c>
      <c r="AJ11" s="39">
        <f>IF($B11="","",COUNTIF(D11:AH11,"R"))</f>
        <v/>
      </c>
      <c r="AK11" s="39">
        <f>IF($B11="","",COUNTIF(D11:AH11,"A"))</f>
        <v/>
      </c>
      <c r="AL11" s="39">
        <f>IF($B11="","",COUNTIF(D11:AH11,"C"))</f>
        <v/>
      </c>
      <c r="AM11" s="39">
        <f>IF($B11="","",COUNTIF(D11:AH11,"M"))</f>
        <v/>
      </c>
      <c r="AN11" s="40">
        <f>IF($B11="","",IF(AI11+AJ11+AK11+AM11=0,"",(AI11+AJ11)/(AI11+AJ11+AK11+AM11)))</f>
        <v/>
      </c>
      <c r="AO11" s="41">
        <f>IF($B11="","",IF('Employés'!D9="","",(AI11+AJ11+AL11)*'Employés'!D9))</f>
        <v/>
      </c>
    </row>
    <row r="12" ht="20" customHeight="1">
      <c r="A12" s="37">
        <f>IF('Employés'!B10="","",'Employés'!A10)</f>
        <v/>
      </c>
      <c r="B12" s="38">
        <f>IF('Employés'!B10="","",'Employés'!B10)</f>
        <v/>
      </c>
      <c r="C12" s="38">
        <f>IF('Employés'!C10="","",'Employés'!C10)</f>
        <v/>
      </c>
      <c r="D12" s="37" t="n"/>
      <c r="E12" s="37" t="n"/>
      <c r="F12" s="37" t="n"/>
      <c r="G12" s="37" t="n"/>
      <c r="H12" s="37" t="n"/>
      <c r="I12" s="37" t="n"/>
      <c r="J12" s="37" t="n"/>
      <c r="K12" s="37" t="n"/>
      <c r="L12" s="37" t="n"/>
      <c r="M12" s="37" t="n"/>
      <c r="N12" s="37" t="n"/>
      <c r="O12" s="37" t="n"/>
      <c r="P12" s="37" t="n"/>
      <c r="Q12" s="37" t="n"/>
      <c r="R12" s="37" t="n"/>
      <c r="S12" s="37" t="n"/>
      <c r="T12" s="37" t="n"/>
      <c r="U12" s="37" t="n"/>
      <c r="V12" s="37" t="n"/>
      <c r="W12" s="37" t="n"/>
      <c r="X12" s="37" t="n"/>
      <c r="Y12" s="37" t="n"/>
      <c r="Z12" s="37" t="n"/>
      <c r="AA12" s="37" t="n"/>
      <c r="AB12" s="37" t="n"/>
      <c r="AC12" s="37" t="n"/>
      <c r="AD12" s="37" t="n"/>
      <c r="AE12" s="37" t="n"/>
      <c r="AF12" s="37" t="n"/>
      <c r="AG12" s="37" t="n"/>
      <c r="AH12" s="37" t="n"/>
      <c r="AI12" s="39">
        <f>IF($B12="","",COUNTIF(D12:AH12,"P"))</f>
        <v/>
      </c>
      <c r="AJ12" s="39">
        <f>IF($B12="","",COUNTIF(D12:AH12,"R"))</f>
        <v/>
      </c>
      <c r="AK12" s="39">
        <f>IF($B12="","",COUNTIF(D12:AH12,"A"))</f>
        <v/>
      </c>
      <c r="AL12" s="39">
        <f>IF($B12="","",COUNTIF(D12:AH12,"C"))</f>
        <v/>
      </c>
      <c r="AM12" s="39">
        <f>IF($B12="","",COUNTIF(D12:AH12,"M"))</f>
        <v/>
      </c>
      <c r="AN12" s="40">
        <f>IF($B12="","",IF(AI12+AJ12+AK12+AM12=0,"",(AI12+AJ12)/(AI12+AJ12+AK12+AM12)))</f>
        <v/>
      </c>
      <c r="AO12" s="41">
        <f>IF($B12="","",IF('Employés'!D10="","",(AI12+AJ12+AL12)*'Employés'!D10))</f>
        <v/>
      </c>
    </row>
    <row r="13" ht="20" customHeight="1">
      <c r="A13" s="37">
        <f>IF('Employés'!B11="","",'Employés'!A11)</f>
        <v/>
      </c>
      <c r="B13" s="38">
        <f>IF('Employés'!B11="","",'Employés'!B11)</f>
        <v/>
      </c>
      <c r="C13" s="38">
        <f>IF('Employés'!C11="","",'Employés'!C11)</f>
        <v/>
      </c>
      <c r="D13" s="37" t="n"/>
      <c r="E13" s="37" t="n"/>
      <c r="F13" s="37" t="n"/>
      <c r="G13" s="37" t="n"/>
      <c r="H13" s="37" t="n"/>
      <c r="I13" s="37" t="n"/>
      <c r="J13" s="37" t="n"/>
      <c r="K13" s="37" t="n"/>
      <c r="L13" s="37" t="n"/>
      <c r="M13" s="37" t="n"/>
      <c r="N13" s="37" t="n"/>
      <c r="O13" s="37" t="n"/>
      <c r="P13" s="37" t="n"/>
      <c r="Q13" s="37" t="n"/>
      <c r="R13" s="37" t="n"/>
      <c r="S13" s="37" t="n"/>
      <c r="T13" s="37" t="n"/>
      <c r="U13" s="37" t="n"/>
      <c r="V13" s="37" t="n"/>
      <c r="W13" s="37" t="n"/>
      <c r="X13" s="37" t="n"/>
      <c r="Y13" s="37" t="n"/>
      <c r="Z13" s="37" t="n"/>
      <c r="AA13" s="37" t="n"/>
      <c r="AB13" s="37" t="n"/>
      <c r="AC13" s="37" t="n"/>
      <c r="AD13" s="37" t="n"/>
      <c r="AE13" s="37" t="n"/>
      <c r="AF13" s="37" t="n"/>
      <c r="AG13" s="37" t="n"/>
      <c r="AH13" s="37" t="n"/>
      <c r="AI13" s="39">
        <f>IF($B13="","",COUNTIF(D13:AH13,"P"))</f>
        <v/>
      </c>
      <c r="AJ13" s="39">
        <f>IF($B13="","",COUNTIF(D13:AH13,"R"))</f>
        <v/>
      </c>
      <c r="AK13" s="39">
        <f>IF($B13="","",COUNTIF(D13:AH13,"A"))</f>
        <v/>
      </c>
      <c r="AL13" s="39">
        <f>IF($B13="","",COUNTIF(D13:AH13,"C"))</f>
        <v/>
      </c>
      <c r="AM13" s="39">
        <f>IF($B13="","",COUNTIF(D13:AH13,"M"))</f>
        <v/>
      </c>
      <c r="AN13" s="40">
        <f>IF($B13="","",IF(AI13+AJ13+AK13+AM13=0,"",(AI13+AJ13)/(AI13+AJ13+AK13+AM13)))</f>
        <v/>
      </c>
      <c r="AO13" s="41">
        <f>IF($B13="","",IF('Employés'!D11="","",(AI13+AJ13+AL13)*'Employés'!D11))</f>
        <v/>
      </c>
    </row>
    <row r="14" ht="20" customHeight="1">
      <c r="A14" s="37">
        <f>IF('Employés'!B12="","",'Employés'!A12)</f>
        <v/>
      </c>
      <c r="B14" s="38">
        <f>IF('Employés'!B12="","",'Employés'!B12)</f>
        <v/>
      </c>
      <c r="C14" s="38">
        <f>IF('Employés'!C12="","",'Employés'!C12)</f>
        <v/>
      </c>
      <c r="D14" s="37" t="n"/>
      <c r="E14" s="37" t="n"/>
      <c r="F14" s="37" t="n"/>
      <c r="G14" s="37" t="n"/>
      <c r="H14" s="37" t="n"/>
      <c r="I14" s="37" t="n"/>
      <c r="J14" s="37" t="n"/>
      <c r="K14" s="37" t="n"/>
      <c r="L14" s="37" t="n"/>
      <c r="M14" s="37" t="n"/>
      <c r="N14" s="37" t="n"/>
      <c r="O14" s="37" t="n"/>
      <c r="P14" s="37" t="n"/>
      <c r="Q14" s="37" t="n"/>
      <c r="R14" s="37" t="n"/>
      <c r="S14" s="37" t="n"/>
      <c r="T14" s="37" t="n"/>
      <c r="U14" s="37" t="n"/>
      <c r="V14" s="37" t="n"/>
      <c r="W14" s="37" t="n"/>
      <c r="X14" s="37" t="n"/>
      <c r="Y14" s="37" t="n"/>
      <c r="Z14" s="37" t="n"/>
      <c r="AA14" s="37" t="n"/>
      <c r="AB14" s="37" t="n"/>
      <c r="AC14" s="37" t="n"/>
      <c r="AD14" s="37" t="n"/>
      <c r="AE14" s="37" t="n"/>
      <c r="AF14" s="37" t="n"/>
      <c r="AG14" s="37" t="n"/>
      <c r="AH14" s="37" t="n"/>
      <c r="AI14" s="39">
        <f>IF($B14="","",COUNTIF(D14:AH14,"P"))</f>
        <v/>
      </c>
      <c r="AJ14" s="39">
        <f>IF($B14="","",COUNTIF(D14:AH14,"R"))</f>
        <v/>
      </c>
      <c r="AK14" s="39">
        <f>IF($B14="","",COUNTIF(D14:AH14,"A"))</f>
        <v/>
      </c>
      <c r="AL14" s="39">
        <f>IF($B14="","",COUNTIF(D14:AH14,"C"))</f>
        <v/>
      </c>
      <c r="AM14" s="39">
        <f>IF($B14="","",COUNTIF(D14:AH14,"M"))</f>
        <v/>
      </c>
      <c r="AN14" s="40">
        <f>IF($B14="","",IF(AI14+AJ14+AK14+AM14=0,"",(AI14+AJ14)/(AI14+AJ14+AK14+AM14)))</f>
        <v/>
      </c>
      <c r="AO14" s="41">
        <f>IF($B14="","",IF('Employés'!D12="","",(AI14+AJ14+AL14)*'Employés'!D12))</f>
        <v/>
      </c>
    </row>
    <row r="15" ht="20" customHeight="1">
      <c r="A15" s="37">
        <f>IF('Employés'!B13="","",'Employés'!A13)</f>
        <v/>
      </c>
      <c r="B15" s="38">
        <f>IF('Employés'!B13="","",'Employés'!B13)</f>
        <v/>
      </c>
      <c r="C15" s="38">
        <f>IF('Employés'!C13="","",'Employés'!C13)</f>
        <v/>
      </c>
      <c r="D15" s="37" t="n"/>
      <c r="E15" s="37" t="n"/>
      <c r="F15" s="37" t="n"/>
      <c r="G15" s="37" t="n"/>
      <c r="H15" s="37" t="n"/>
      <c r="I15" s="37" t="n"/>
      <c r="J15" s="37" t="n"/>
      <c r="K15" s="37" t="n"/>
      <c r="L15" s="37" t="n"/>
      <c r="M15" s="37" t="n"/>
      <c r="N15" s="37" t="n"/>
      <c r="O15" s="37" t="n"/>
      <c r="P15" s="37" t="n"/>
      <c r="Q15" s="37" t="n"/>
      <c r="R15" s="37" t="n"/>
      <c r="S15" s="37" t="n"/>
      <c r="T15" s="37" t="n"/>
      <c r="U15" s="37" t="n"/>
      <c r="V15" s="37" t="n"/>
      <c r="W15" s="37" t="n"/>
      <c r="X15" s="37" t="n"/>
      <c r="Y15" s="37" t="n"/>
      <c r="Z15" s="37" t="n"/>
      <c r="AA15" s="37" t="n"/>
      <c r="AB15" s="37" t="n"/>
      <c r="AC15" s="37" t="n"/>
      <c r="AD15" s="37" t="n"/>
      <c r="AE15" s="37" t="n"/>
      <c r="AF15" s="37" t="n"/>
      <c r="AG15" s="37" t="n"/>
      <c r="AH15" s="37" t="n"/>
      <c r="AI15" s="39">
        <f>IF($B15="","",COUNTIF(D15:AH15,"P"))</f>
        <v/>
      </c>
      <c r="AJ15" s="39">
        <f>IF($B15="","",COUNTIF(D15:AH15,"R"))</f>
        <v/>
      </c>
      <c r="AK15" s="39">
        <f>IF($B15="","",COUNTIF(D15:AH15,"A"))</f>
        <v/>
      </c>
      <c r="AL15" s="39">
        <f>IF($B15="","",COUNTIF(D15:AH15,"C"))</f>
        <v/>
      </c>
      <c r="AM15" s="39">
        <f>IF($B15="","",COUNTIF(D15:AH15,"M"))</f>
        <v/>
      </c>
      <c r="AN15" s="40">
        <f>IF($B15="","",IF(AI15+AJ15+AK15+AM15=0,"",(AI15+AJ15)/(AI15+AJ15+AK15+AM15)))</f>
        <v/>
      </c>
      <c r="AO15" s="41">
        <f>IF($B15="","",IF('Employés'!D13="","",(AI15+AJ15+AL15)*'Employés'!D13))</f>
        <v/>
      </c>
    </row>
    <row r="16" ht="20" customHeight="1">
      <c r="A16" s="37">
        <f>IF('Employés'!B14="","",'Employés'!A14)</f>
        <v/>
      </c>
      <c r="B16" s="38">
        <f>IF('Employés'!B14="","",'Employés'!B14)</f>
        <v/>
      </c>
      <c r="C16" s="38">
        <f>IF('Employés'!C14="","",'Employés'!C14)</f>
        <v/>
      </c>
      <c r="D16" s="37" t="n"/>
      <c r="E16" s="37" t="n"/>
      <c r="F16" s="37" t="n"/>
      <c r="G16" s="37" t="n"/>
      <c r="H16" s="37" t="n"/>
      <c r="I16" s="37" t="n"/>
      <c r="J16" s="37" t="n"/>
      <c r="K16" s="37" t="n"/>
      <c r="L16" s="37" t="n"/>
      <c r="M16" s="37" t="n"/>
      <c r="N16" s="37" t="n"/>
      <c r="O16" s="37" t="n"/>
      <c r="P16" s="37" t="n"/>
      <c r="Q16" s="37" t="n"/>
      <c r="R16" s="37" t="n"/>
      <c r="S16" s="37" t="n"/>
      <c r="T16" s="37" t="n"/>
      <c r="U16" s="37" t="n"/>
      <c r="V16" s="37" t="n"/>
      <c r="W16" s="37" t="n"/>
      <c r="X16" s="37" t="n"/>
      <c r="Y16" s="37" t="n"/>
      <c r="Z16" s="37" t="n"/>
      <c r="AA16" s="37" t="n"/>
      <c r="AB16" s="37" t="n"/>
      <c r="AC16" s="37" t="n"/>
      <c r="AD16" s="37" t="n"/>
      <c r="AE16" s="37" t="n"/>
      <c r="AF16" s="37" t="n"/>
      <c r="AG16" s="37" t="n"/>
      <c r="AH16" s="37" t="n"/>
      <c r="AI16" s="39">
        <f>IF($B16="","",COUNTIF(D16:AH16,"P"))</f>
        <v/>
      </c>
      <c r="AJ16" s="39">
        <f>IF($B16="","",COUNTIF(D16:AH16,"R"))</f>
        <v/>
      </c>
      <c r="AK16" s="39">
        <f>IF($B16="","",COUNTIF(D16:AH16,"A"))</f>
        <v/>
      </c>
      <c r="AL16" s="39">
        <f>IF($B16="","",COUNTIF(D16:AH16,"C"))</f>
        <v/>
      </c>
      <c r="AM16" s="39">
        <f>IF($B16="","",COUNTIF(D16:AH16,"M"))</f>
        <v/>
      </c>
      <c r="AN16" s="40">
        <f>IF($B16="","",IF(AI16+AJ16+AK16+AM16=0,"",(AI16+AJ16)/(AI16+AJ16+AK16+AM16)))</f>
        <v/>
      </c>
      <c r="AO16" s="41">
        <f>IF($B16="","",IF('Employés'!D14="","",(AI16+AJ16+AL16)*'Employés'!D14))</f>
        <v/>
      </c>
    </row>
    <row r="17" ht="20" customHeight="1">
      <c r="A17" s="37">
        <f>IF('Employés'!B15="","",'Employés'!A15)</f>
        <v/>
      </c>
      <c r="B17" s="38">
        <f>IF('Employés'!B15="","",'Employés'!B15)</f>
        <v/>
      </c>
      <c r="C17" s="38">
        <f>IF('Employés'!C15="","",'Employés'!C15)</f>
        <v/>
      </c>
      <c r="D17" s="37" t="n"/>
      <c r="E17" s="37" t="n"/>
      <c r="F17" s="37" t="n"/>
      <c r="G17" s="37" t="n"/>
      <c r="H17" s="37" t="n"/>
      <c r="I17" s="37" t="n"/>
      <c r="J17" s="37" t="n"/>
      <c r="K17" s="37" t="n"/>
      <c r="L17" s="37" t="n"/>
      <c r="M17" s="37" t="n"/>
      <c r="N17" s="37" t="n"/>
      <c r="O17" s="37" t="n"/>
      <c r="P17" s="37" t="n"/>
      <c r="Q17" s="37" t="n"/>
      <c r="R17" s="37" t="n"/>
      <c r="S17" s="37" t="n"/>
      <c r="T17" s="37" t="n"/>
      <c r="U17" s="37" t="n"/>
      <c r="V17" s="37" t="n"/>
      <c r="W17" s="37" t="n"/>
      <c r="X17" s="37" t="n"/>
      <c r="Y17" s="37" t="n"/>
      <c r="Z17" s="37" t="n"/>
      <c r="AA17" s="37" t="n"/>
      <c r="AB17" s="37" t="n"/>
      <c r="AC17" s="37" t="n"/>
      <c r="AD17" s="37" t="n"/>
      <c r="AE17" s="37" t="n"/>
      <c r="AF17" s="37" t="n"/>
      <c r="AG17" s="37" t="n"/>
      <c r="AH17" s="37" t="n"/>
      <c r="AI17" s="39">
        <f>IF($B17="","",COUNTIF(D17:AH17,"P"))</f>
        <v/>
      </c>
      <c r="AJ17" s="39">
        <f>IF($B17="","",COUNTIF(D17:AH17,"R"))</f>
        <v/>
      </c>
      <c r="AK17" s="39">
        <f>IF($B17="","",COUNTIF(D17:AH17,"A"))</f>
        <v/>
      </c>
      <c r="AL17" s="39">
        <f>IF($B17="","",COUNTIF(D17:AH17,"C"))</f>
        <v/>
      </c>
      <c r="AM17" s="39">
        <f>IF($B17="","",COUNTIF(D17:AH17,"M"))</f>
        <v/>
      </c>
      <c r="AN17" s="40">
        <f>IF($B17="","",IF(AI17+AJ17+AK17+AM17=0,"",(AI17+AJ17)/(AI17+AJ17+AK17+AM17)))</f>
        <v/>
      </c>
      <c r="AO17" s="41">
        <f>IF($B17="","",IF('Employés'!D15="","",(AI17+AJ17+AL17)*'Employés'!D15))</f>
        <v/>
      </c>
    </row>
    <row r="18" ht="20" customHeight="1">
      <c r="A18" s="37">
        <f>IF('Employés'!B16="","",'Employés'!A16)</f>
        <v/>
      </c>
      <c r="B18" s="38">
        <f>IF('Employés'!B16="","",'Employés'!B16)</f>
        <v/>
      </c>
      <c r="C18" s="38">
        <f>IF('Employés'!C16="","",'Employés'!C16)</f>
        <v/>
      </c>
      <c r="D18" s="37" t="n"/>
      <c r="E18" s="37" t="n"/>
      <c r="F18" s="37" t="n"/>
      <c r="G18" s="37" t="n"/>
      <c r="H18" s="37" t="n"/>
      <c r="I18" s="37" t="n"/>
      <c r="J18" s="37" t="n"/>
      <c r="K18" s="37" t="n"/>
      <c r="L18" s="37" t="n"/>
      <c r="M18" s="37" t="n"/>
      <c r="N18" s="37" t="n"/>
      <c r="O18" s="37" t="n"/>
      <c r="P18" s="37" t="n"/>
      <c r="Q18" s="37" t="n"/>
      <c r="R18" s="37" t="n"/>
      <c r="S18" s="37" t="n"/>
      <c r="T18" s="37" t="n"/>
      <c r="U18" s="37" t="n"/>
      <c r="V18" s="37" t="n"/>
      <c r="W18" s="37" t="n"/>
      <c r="X18" s="37" t="n"/>
      <c r="Y18" s="37" t="n"/>
      <c r="Z18" s="37" t="n"/>
      <c r="AA18" s="37" t="n"/>
      <c r="AB18" s="37" t="n"/>
      <c r="AC18" s="37" t="n"/>
      <c r="AD18" s="37" t="n"/>
      <c r="AE18" s="37" t="n"/>
      <c r="AF18" s="37" t="n"/>
      <c r="AG18" s="37" t="n"/>
      <c r="AH18" s="37" t="n"/>
      <c r="AI18" s="39">
        <f>IF($B18="","",COUNTIF(D18:AH18,"P"))</f>
        <v/>
      </c>
      <c r="AJ18" s="39">
        <f>IF($B18="","",COUNTIF(D18:AH18,"R"))</f>
        <v/>
      </c>
      <c r="AK18" s="39">
        <f>IF($B18="","",COUNTIF(D18:AH18,"A"))</f>
        <v/>
      </c>
      <c r="AL18" s="39">
        <f>IF($B18="","",COUNTIF(D18:AH18,"C"))</f>
        <v/>
      </c>
      <c r="AM18" s="39">
        <f>IF($B18="","",COUNTIF(D18:AH18,"M"))</f>
        <v/>
      </c>
      <c r="AN18" s="40">
        <f>IF($B18="","",IF(AI18+AJ18+AK18+AM18=0,"",(AI18+AJ18)/(AI18+AJ18+AK18+AM18)))</f>
        <v/>
      </c>
      <c r="AO18" s="41">
        <f>IF($B18="","",IF('Employés'!D16="","",(AI18+AJ18+AL18)*'Employés'!D16))</f>
        <v/>
      </c>
    </row>
    <row r="19" ht="20" customHeight="1">
      <c r="A19" s="37">
        <f>IF('Employés'!B17="","",'Employés'!A17)</f>
        <v/>
      </c>
      <c r="B19" s="38">
        <f>IF('Employés'!B17="","",'Employés'!B17)</f>
        <v/>
      </c>
      <c r="C19" s="38">
        <f>IF('Employés'!C17="","",'Employés'!C17)</f>
        <v/>
      </c>
      <c r="D19" s="37" t="n"/>
      <c r="E19" s="37" t="n"/>
      <c r="F19" s="37" t="n"/>
      <c r="G19" s="37" t="n"/>
      <c r="H19" s="37" t="n"/>
      <c r="I19" s="37" t="n"/>
      <c r="J19" s="37" t="n"/>
      <c r="K19" s="37" t="n"/>
      <c r="L19" s="37" t="n"/>
      <c r="M19" s="37" t="n"/>
      <c r="N19" s="37" t="n"/>
      <c r="O19" s="37" t="n"/>
      <c r="P19" s="37" t="n"/>
      <c r="Q19" s="37" t="n"/>
      <c r="R19" s="37" t="n"/>
      <c r="S19" s="37" t="n"/>
      <c r="T19" s="37" t="n"/>
      <c r="U19" s="37" t="n"/>
      <c r="V19" s="37" t="n"/>
      <c r="W19" s="37" t="n"/>
      <c r="X19" s="37" t="n"/>
      <c r="Y19" s="37" t="n"/>
      <c r="Z19" s="37" t="n"/>
      <c r="AA19" s="37" t="n"/>
      <c r="AB19" s="37" t="n"/>
      <c r="AC19" s="37" t="n"/>
      <c r="AD19" s="37" t="n"/>
      <c r="AE19" s="37" t="n"/>
      <c r="AF19" s="37" t="n"/>
      <c r="AG19" s="37" t="n"/>
      <c r="AH19" s="37" t="n"/>
      <c r="AI19" s="39">
        <f>IF($B19="","",COUNTIF(D19:AH19,"P"))</f>
        <v/>
      </c>
      <c r="AJ19" s="39">
        <f>IF($B19="","",COUNTIF(D19:AH19,"R"))</f>
        <v/>
      </c>
      <c r="AK19" s="39">
        <f>IF($B19="","",COUNTIF(D19:AH19,"A"))</f>
        <v/>
      </c>
      <c r="AL19" s="39">
        <f>IF($B19="","",COUNTIF(D19:AH19,"C"))</f>
        <v/>
      </c>
      <c r="AM19" s="39">
        <f>IF($B19="","",COUNTIF(D19:AH19,"M"))</f>
        <v/>
      </c>
      <c r="AN19" s="40">
        <f>IF($B19="","",IF(AI19+AJ19+AK19+AM19=0,"",(AI19+AJ19)/(AI19+AJ19+AK19+AM19)))</f>
        <v/>
      </c>
      <c r="AO19" s="41">
        <f>IF($B19="","",IF('Employés'!D17="","",(AI19+AJ19+AL19)*'Employés'!D17))</f>
        <v/>
      </c>
    </row>
    <row r="20" ht="20" customHeight="1">
      <c r="A20" s="37">
        <f>IF('Employés'!B18="","",'Employés'!A18)</f>
        <v/>
      </c>
      <c r="B20" s="38">
        <f>IF('Employés'!B18="","",'Employés'!B18)</f>
        <v/>
      </c>
      <c r="C20" s="38">
        <f>IF('Employés'!C18="","",'Employés'!C18)</f>
        <v/>
      </c>
      <c r="D20" s="37" t="n"/>
      <c r="E20" s="37" t="n"/>
      <c r="F20" s="37" t="n"/>
      <c r="G20" s="37" t="n"/>
      <c r="H20" s="37" t="n"/>
      <c r="I20" s="37" t="n"/>
      <c r="J20" s="37" t="n"/>
      <c r="K20" s="37" t="n"/>
      <c r="L20" s="37" t="n"/>
      <c r="M20" s="37" t="n"/>
      <c r="N20" s="37" t="n"/>
      <c r="O20" s="37" t="n"/>
      <c r="P20" s="37" t="n"/>
      <c r="Q20" s="37" t="n"/>
      <c r="R20" s="37" t="n"/>
      <c r="S20" s="37" t="n"/>
      <c r="T20" s="37" t="n"/>
      <c r="U20" s="37" t="n"/>
      <c r="V20" s="37" t="n"/>
      <c r="W20" s="37" t="n"/>
      <c r="X20" s="37" t="n"/>
      <c r="Y20" s="37" t="n"/>
      <c r="Z20" s="37" t="n"/>
      <c r="AA20" s="37" t="n"/>
      <c r="AB20" s="37" t="n"/>
      <c r="AC20" s="37" t="n"/>
      <c r="AD20" s="37" t="n"/>
      <c r="AE20" s="37" t="n"/>
      <c r="AF20" s="37" t="n"/>
      <c r="AG20" s="37" t="n"/>
      <c r="AH20" s="37" t="n"/>
      <c r="AI20" s="39">
        <f>IF($B20="","",COUNTIF(D20:AH20,"P"))</f>
        <v/>
      </c>
      <c r="AJ20" s="39">
        <f>IF($B20="","",COUNTIF(D20:AH20,"R"))</f>
        <v/>
      </c>
      <c r="AK20" s="39">
        <f>IF($B20="","",COUNTIF(D20:AH20,"A"))</f>
        <v/>
      </c>
      <c r="AL20" s="39">
        <f>IF($B20="","",COUNTIF(D20:AH20,"C"))</f>
        <v/>
      </c>
      <c r="AM20" s="39">
        <f>IF($B20="","",COUNTIF(D20:AH20,"M"))</f>
        <v/>
      </c>
      <c r="AN20" s="40">
        <f>IF($B20="","",IF(AI20+AJ20+AK20+AM20=0,"",(AI20+AJ20)/(AI20+AJ20+AK20+AM20)))</f>
        <v/>
      </c>
      <c r="AO20" s="41">
        <f>IF($B20="","",IF('Employés'!D18="","",(AI20+AJ20+AL20)*'Employés'!D18))</f>
        <v/>
      </c>
    </row>
    <row r="21" ht="20" customHeight="1">
      <c r="A21" s="37">
        <f>IF('Employés'!B19="","",'Employés'!A19)</f>
        <v/>
      </c>
      <c r="B21" s="38">
        <f>IF('Employés'!B19="","",'Employés'!B19)</f>
        <v/>
      </c>
      <c r="C21" s="38">
        <f>IF('Employés'!C19="","",'Employés'!C19)</f>
        <v/>
      </c>
      <c r="D21" s="37" t="n"/>
      <c r="E21" s="37" t="n"/>
      <c r="F21" s="37" t="n"/>
      <c r="G21" s="37" t="n"/>
      <c r="H21" s="37" t="n"/>
      <c r="I21" s="37" t="n"/>
      <c r="J21" s="37" t="n"/>
      <c r="K21" s="37" t="n"/>
      <c r="L21" s="37" t="n"/>
      <c r="M21" s="37" t="n"/>
      <c r="N21" s="37" t="n"/>
      <c r="O21" s="37" t="n"/>
      <c r="P21" s="37" t="n"/>
      <c r="Q21" s="37" t="n"/>
      <c r="R21" s="37" t="n"/>
      <c r="S21" s="37" t="n"/>
      <c r="T21" s="37" t="n"/>
      <c r="U21" s="37" t="n"/>
      <c r="V21" s="37" t="n"/>
      <c r="W21" s="37" t="n"/>
      <c r="X21" s="37" t="n"/>
      <c r="Y21" s="37" t="n"/>
      <c r="Z21" s="37" t="n"/>
      <c r="AA21" s="37" t="n"/>
      <c r="AB21" s="37" t="n"/>
      <c r="AC21" s="37" t="n"/>
      <c r="AD21" s="37" t="n"/>
      <c r="AE21" s="37" t="n"/>
      <c r="AF21" s="37" t="n"/>
      <c r="AG21" s="37" t="n"/>
      <c r="AH21" s="37" t="n"/>
      <c r="AI21" s="39">
        <f>IF($B21="","",COUNTIF(D21:AH21,"P"))</f>
        <v/>
      </c>
      <c r="AJ21" s="39">
        <f>IF($B21="","",COUNTIF(D21:AH21,"R"))</f>
        <v/>
      </c>
      <c r="AK21" s="39">
        <f>IF($B21="","",COUNTIF(D21:AH21,"A"))</f>
        <v/>
      </c>
      <c r="AL21" s="39">
        <f>IF($B21="","",COUNTIF(D21:AH21,"C"))</f>
        <v/>
      </c>
      <c r="AM21" s="39">
        <f>IF($B21="","",COUNTIF(D21:AH21,"M"))</f>
        <v/>
      </c>
      <c r="AN21" s="40">
        <f>IF($B21="","",IF(AI21+AJ21+AK21+AM21=0,"",(AI21+AJ21)/(AI21+AJ21+AK21+AM21)))</f>
        <v/>
      </c>
      <c r="AO21" s="41">
        <f>IF($B21="","",IF('Employés'!D19="","",(AI21+AJ21+AL21)*'Employés'!D19))</f>
        <v/>
      </c>
    </row>
    <row r="22" ht="20" customHeight="1">
      <c r="A22" s="37">
        <f>IF('Employés'!B20="","",'Employés'!A20)</f>
        <v/>
      </c>
      <c r="B22" s="38">
        <f>IF('Employés'!B20="","",'Employés'!B20)</f>
        <v/>
      </c>
      <c r="C22" s="38">
        <f>IF('Employés'!C20="","",'Employés'!C20)</f>
        <v/>
      </c>
      <c r="D22" s="37" t="n"/>
      <c r="E22" s="37" t="n"/>
      <c r="F22" s="37" t="n"/>
      <c r="G22" s="37" t="n"/>
      <c r="H22" s="37" t="n"/>
      <c r="I22" s="37" t="n"/>
      <c r="J22" s="37" t="n"/>
      <c r="K22" s="37" t="n"/>
      <c r="L22" s="37" t="n"/>
      <c r="M22" s="37" t="n"/>
      <c r="N22" s="37" t="n"/>
      <c r="O22" s="37" t="n"/>
      <c r="P22" s="37" t="n"/>
      <c r="Q22" s="37" t="n"/>
      <c r="R22" s="37" t="n"/>
      <c r="S22" s="37" t="n"/>
      <c r="T22" s="37" t="n"/>
      <c r="U22" s="37" t="n"/>
      <c r="V22" s="37" t="n"/>
      <c r="W22" s="37" t="n"/>
      <c r="X22" s="37" t="n"/>
      <c r="Y22" s="37" t="n"/>
      <c r="Z22" s="37" t="n"/>
      <c r="AA22" s="37" t="n"/>
      <c r="AB22" s="37" t="n"/>
      <c r="AC22" s="37" t="n"/>
      <c r="AD22" s="37" t="n"/>
      <c r="AE22" s="37" t="n"/>
      <c r="AF22" s="37" t="n"/>
      <c r="AG22" s="37" t="n"/>
      <c r="AH22" s="37" t="n"/>
      <c r="AI22" s="39">
        <f>IF($B22="","",COUNTIF(D22:AH22,"P"))</f>
        <v/>
      </c>
      <c r="AJ22" s="39">
        <f>IF($B22="","",COUNTIF(D22:AH22,"R"))</f>
        <v/>
      </c>
      <c r="AK22" s="39">
        <f>IF($B22="","",COUNTIF(D22:AH22,"A"))</f>
        <v/>
      </c>
      <c r="AL22" s="39">
        <f>IF($B22="","",COUNTIF(D22:AH22,"C"))</f>
        <v/>
      </c>
      <c r="AM22" s="39">
        <f>IF($B22="","",COUNTIF(D22:AH22,"M"))</f>
        <v/>
      </c>
      <c r="AN22" s="40">
        <f>IF($B22="","",IF(AI22+AJ22+AK22+AM22=0,"",(AI22+AJ22)/(AI22+AJ22+AK22+AM22)))</f>
        <v/>
      </c>
      <c r="AO22" s="41">
        <f>IF($B22="","",IF('Employés'!D20="","",(AI22+AJ22+AL22)*'Employés'!D20))</f>
        <v/>
      </c>
    </row>
    <row r="23" ht="20" customHeight="1">
      <c r="A23" s="37">
        <f>IF('Employés'!B21="","",'Employés'!A21)</f>
        <v/>
      </c>
      <c r="B23" s="38">
        <f>IF('Employés'!B21="","",'Employés'!B21)</f>
        <v/>
      </c>
      <c r="C23" s="38">
        <f>IF('Employés'!C21="","",'Employés'!C21)</f>
        <v/>
      </c>
      <c r="D23" s="37" t="n"/>
      <c r="E23" s="37" t="n"/>
      <c r="F23" s="37" t="n"/>
      <c r="G23" s="37" t="n"/>
      <c r="H23" s="37" t="n"/>
      <c r="I23" s="37" t="n"/>
      <c r="J23" s="37" t="n"/>
      <c r="K23" s="37" t="n"/>
      <c r="L23" s="37" t="n"/>
      <c r="M23" s="37" t="n"/>
      <c r="N23" s="37" t="n"/>
      <c r="O23" s="37" t="n"/>
      <c r="P23" s="37" t="n"/>
      <c r="Q23" s="37" t="n"/>
      <c r="R23" s="37" t="n"/>
      <c r="S23" s="37" t="n"/>
      <c r="T23" s="37" t="n"/>
      <c r="U23" s="37" t="n"/>
      <c r="V23" s="37" t="n"/>
      <c r="W23" s="37" t="n"/>
      <c r="X23" s="37" t="n"/>
      <c r="Y23" s="37" t="n"/>
      <c r="Z23" s="37" t="n"/>
      <c r="AA23" s="37" t="n"/>
      <c r="AB23" s="37" t="n"/>
      <c r="AC23" s="37" t="n"/>
      <c r="AD23" s="37" t="n"/>
      <c r="AE23" s="37" t="n"/>
      <c r="AF23" s="37" t="n"/>
      <c r="AG23" s="37" t="n"/>
      <c r="AH23" s="37" t="n"/>
      <c r="AI23" s="39">
        <f>IF($B23="","",COUNTIF(D23:AH23,"P"))</f>
        <v/>
      </c>
      <c r="AJ23" s="39">
        <f>IF($B23="","",COUNTIF(D23:AH23,"R"))</f>
        <v/>
      </c>
      <c r="AK23" s="39">
        <f>IF($B23="","",COUNTIF(D23:AH23,"A"))</f>
        <v/>
      </c>
      <c r="AL23" s="39">
        <f>IF($B23="","",COUNTIF(D23:AH23,"C"))</f>
        <v/>
      </c>
      <c r="AM23" s="39">
        <f>IF($B23="","",COUNTIF(D23:AH23,"M"))</f>
        <v/>
      </c>
      <c r="AN23" s="40">
        <f>IF($B23="","",IF(AI23+AJ23+AK23+AM23=0,"",(AI23+AJ23)/(AI23+AJ23+AK23+AM23)))</f>
        <v/>
      </c>
      <c r="AO23" s="41">
        <f>IF($B23="","",IF('Employés'!D21="","",(AI23+AJ23+AL23)*'Employés'!D21))</f>
        <v/>
      </c>
    </row>
    <row r="24" ht="20" customHeight="1">
      <c r="A24" s="37">
        <f>IF('Employés'!B22="","",'Employés'!A22)</f>
        <v/>
      </c>
      <c r="B24" s="38">
        <f>IF('Employés'!B22="","",'Employés'!B22)</f>
        <v/>
      </c>
      <c r="C24" s="38">
        <f>IF('Employés'!C22="","",'Employés'!C22)</f>
        <v/>
      </c>
      <c r="D24" s="37" t="n"/>
      <c r="E24" s="37" t="n"/>
      <c r="F24" s="37" t="n"/>
      <c r="G24" s="37" t="n"/>
      <c r="H24" s="37" t="n"/>
      <c r="I24" s="37" t="n"/>
      <c r="J24" s="37" t="n"/>
      <c r="K24" s="37" t="n"/>
      <c r="L24" s="37" t="n"/>
      <c r="M24" s="37" t="n"/>
      <c r="N24" s="37" t="n"/>
      <c r="O24" s="37" t="n"/>
      <c r="P24" s="37" t="n"/>
      <c r="Q24" s="37" t="n"/>
      <c r="R24" s="37" t="n"/>
      <c r="S24" s="37" t="n"/>
      <c r="T24" s="37" t="n"/>
      <c r="U24" s="37" t="n"/>
      <c r="V24" s="37" t="n"/>
      <c r="W24" s="37" t="n"/>
      <c r="X24" s="37" t="n"/>
      <c r="Y24" s="37" t="n"/>
      <c r="Z24" s="37" t="n"/>
      <c r="AA24" s="37" t="n"/>
      <c r="AB24" s="37" t="n"/>
      <c r="AC24" s="37" t="n"/>
      <c r="AD24" s="37" t="n"/>
      <c r="AE24" s="37" t="n"/>
      <c r="AF24" s="37" t="n"/>
      <c r="AG24" s="37" t="n"/>
      <c r="AH24" s="37" t="n"/>
      <c r="AI24" s="39">
        <f>IF($B24="","",COUNTIF(D24:AH24,"P"))</f>
        <v/>
      </c>
      <c r="AJ24" s="39">
        <f>IF($B24="","",COUNTIF(D24:AH24,"R"))</f>
        <v/>
      </c>
      <c r="AK24" s="39">
        <f>IF($B24="","",COUNTIF(D24:AH24,"A"))</f>
        <v/>
      </c>
      <c r="AL24" s="39">
        <f>IF($B24="","",COUNTIF(D24:AH24,"C"))</f>
        <v/>
      </c>
      <c r="AM24" s="39">
        <f>IF($B24="","",COUNTIF(D24:AH24,"M"))</f>
        <v/>
      </c>
      <c r="AN24" s="40">
        <f>IF($B24="","",IF(AI24+AJ24+AK24+AM24=0,"",(AI24+AJ24)/(AI24+AJ24+AK24+AM24)))</f>
        <v/>
      </c>
      <c r="AO24" s="41">
        <f>IF($B24="","",IF('Employés'!D22="","",(AI24+AJ24+AL24)*'Employés'!D22))</f>
        <v/>
      </c>
    </row>
    <row r="25" ht="20" customHeight="1">
      <c r="A25" s="37">
        <f>IF('Employés'!B23="","",'Employés'!A23)</f>
        <v/>
      </c>
      <c r="B25" s="38">
        <f>IF('Employés'!B23="","",'Employés'!B23)</f>
        <v/>
      </c>
      <c r="C25" s="38">
        <f>IF('Employés'!C23="","",'Employés'!C23)</f>
        <v/>
      </c>
      <c r="D25" s="37" t="n"/>
      <c r="E25" s="37" t="n"/>
      <c r="F25" s="37" t="n"/>
      <c r="G25" s="37" t="n"/>
      <c r="H25" s="37" t="n"/>
      <c r="I25" s="37" t="n"/>
      <c r="J25" s="37" t="n"/>
      <c r="K25" s="37" t="n"/>
      <c r="L25" s="37" t="n"/>
      <c r="M25" s="37" t="n"/>
      <c r="N25" s="37" t="n"/>
      <c r="O25" s="37" t="n"/>
      <c r="P25" s="37" t="n"/>
      <c r="Q25" s="37" t="n"/>
      <c r="R25" s="37" t="n"/>
      <c r="S25" s="37" t="n"/>
      <c r="T25" s="37" t="n"/>
      <c r="U25" s="37" t="n"/>
      <c r="V25" s="37" t="n"/>
      <c r="W25" s="37" t="n"/>
      <c r="X25" s="37" t="n"/>
      <c r="Y25" s="37" t="n"/>
      <c r="Z25" s="37" t="n"/>
      <c r="AA25" s="37" t="n"/>
      <c r="AB25" s="37" t="n"/>
      <c r="AC25" s="37" t="n"/>
      <c r="AD25" s="37" t="n"/>
      <c r="AE25" s="37" t="n"/>
      <c r="AF25" s="37" t="n"/>
      <c r="AG25" s="37" t="n"/>
      <c r="AH25" s="37" t="n"/>
      <c r="AI25" s="39">
        <f>IF($B25="","",COUNTIF(D25:AH25,"P"))</f>
        <v/>
      </c>
      <c r="AJ25" s="39">
        <f>IF($B25="","",COUNTIF(D25:AH25,"R"))</f>
        <v/>
      </c>
      <c r="AK25" s="39">
        <f>IF($B25="","",COUNTIF(D25:AH25,"A"))</f>
        <v/>
      </c>
      <c r="AL25" s="39">
        <f>IF($B25="","",COUNTIF(D25:AH25,"C"))</f>
        <v/>
      </c>
      <c r="AM25" s="39">
        <f>IF($B25="","",COUNTIF(D25:AH25,"M"))</f>
        <v/>
      </c>
      <c r="AN25" s="40">
        <f>IF($B25="","",IF(AI25+AJ25+AK25+AM25=0,"",(AI25+AJ25)/(AI25+AJ25+AK25+AM25)))</f>
        <v/>
      </c>
      <c r="AO25" s="41">
        <f>IF($B25="","",IF('Employés'!D23="","",(AI25+AJ25+AL25)*'Employés'!D23))</f>
        <v/>
      </c>
    </row>
    <row r="26" ht="20" customHeight="1">
      <c r="A26" s="37">
        <f>IF('Employés'!B24="","",'Employés'!A24)</f>
        <v/>
      </c>
      <c r="B26" s="38">
        <f>IF('Employés'!B24="","",'Employés'!B24)</f>
        <v/>
      </c>
      <c r="C26" s="38">
        <f>IF('Employés'!C24="","",'Employés'!C24)</f>
        <v/>
      </c>
      <c r="D26" s="37" t="n"/>
      <c r="E26" s="37" t="n"/>
      <c r="F26" s="37" t="n"/>
      <c r="G26" s="37" t="n"/>
      <c r="H26" s="37" t="n"/>
      <c r="I26" s="37" t="n"/>
      <c r="J26" s="37" t="n"/>
      <c r="K26" s="37" t="n"/>
      <c r="L26" s="37" t="n"/>
      <c r="M26" s="37" t="n"/>
      <c r="N26" s="37" t="n"/>
      <c r="O26" s="37" t="n"/>
      <c r="P26" s="37" t="n"/>
      <c r="Q26" s="37" t="n"/>
      <c r="R26" s="37" t="n"/>
      <c r="S26" s="37" t="n"/>
      <c r="T26" s="37" t="n"/>
      <c r="U26" s="37" t="n"/>
      <c r="V26" s="37" t="n"/>
      <c r="W26" s="37" t="n"/>
      <c r="X26" s="37" t="n"/>
      <c r="Y26" s="37" t="n"/>
      <c r="Z26" s="37" t="n"/>
      <c r="AA26" s="37" t="n"/>
      <c r="AB26" s="37" t="n"/>
      <c r="AC26" s="37" t="n"/>
      <c r="AD26" s="37" t="n"/>
      <c r="AE26" s="37" t="n"/>
      <c r="AF26" s="37" t="n"/>
      <c r="AG26" s="37" t="n"/>
      <c r="AH26" s="37" t="n"/>
      <c r="AI26" s="39">
        <f>IF($B26="","",COUNTIF(D26:AH26,"P"))</f>
        <v/>
      </c>
      <c r="AJ26" s="39">
        <f>IF($B26="","",COUNTIF(D26:AH26,"R"))</f>
        <v/>
      </c>
      <c r="AK26" s="39">
        <f>IF($B26="","",COUNTIF(D26:AH26,"A"))</f>
        <v/>
      </c>
      <c r="AL26" s="39">
        <f>IF($B26="","",COUNTIF(D26:AH26,"C"))</f>
        <v/>
      </c>
      <c r="AM26" s="39">
        <f>IF($B26="","",COUNTIF(D26:AH26,"M"))</f>
        <v/>
      </c>
      <c r="AN26" s="40">
        <f>IF($B26="","",IF(AI26+AJ26+AK26+AM26=0,"",(AI26+AJ26)/(AI26+AJ26+AK26+AM26)))</f>
        <v/>
      </c>
      <c r="AO26" s="41">
        <f>IF($B26="","",IF('Employés'!D24="","",(AI26+AJ26+AL26)*'Employés'!D24))</f>
        <v/>
      </c>
    </row>
    <row r="27" ht="20" customHeight="1">
      <c r="A27" s="37">
        <f>IF('Employés'!B25="","",'Employés'!A25)</f>
        <v/>
      </c>
      <c r="B27" s="38">
        <f>IF('Employés'!B25="","",'Employés'!B25)</f>
        <v/>
      </c>
      <c r="C27" s="38">
        <f>IF('Employés'!C25="","",'Employés'!C25)</f>
        <v/>
      </c>
      <c r="D27" s="37" t="n"/>
      <c r="E27" s="37" t="n"/>
      <c r="F27" s="37" t="n"/>
      <c r="G27" s="37" t="n"/>
      <c r="H27" s="37" t="n"/>
      <c r="I27" s="37" t="n"/>
      <c r="J27" s="37" t="n"/>
      <c r="K27" s="37" t="n"/>
      <c r="L27" s="37" t="n"/>
      <c r="M27" s="37" t="n"/>
      <c r="N27" s="37" t="n"/>
      <c r="O27" s="37" t="n"/>
      <c r="P27" s="37" t="n"/>
      <c r="Q27" s="37" t="n"/>
      <c r="R27" s="37" t="n"/>
      <c r="S27" s="37" t="n"/>
      <c r="T27" s="37" t="n"/>
      <c r="U27" s="37" t="n"/>
      <c r="V27" s="37" t="n"/>
      <c r="W27" s="37" t="n"/>
      <c r="X27" s="37" t="n"/>
      <c r="Y27" s="37" t="n"/>
      <c r="Z27" s="37" t="n"/>
      <c r="AA27" s="37" t="n"/>
      <c r="AB27" s="37" t="n"/>
      <c r="AC27" s="37" t="n"/>
      <c r="AD27" s="37" t="n"/>
      <c r="AE27" s="37" t="n"/>
      <c r="AF27" s="37" t="n"/>
      <c r="AG27" s="37" t="n"/>
      <c r="AH27" s="37" t="n"/>
      <c r="AI27" s="39">
        <f>IF($B27="","",COUNTIF(D27:AH27,"P"))</f>
        <v/>
      </c>
      <c r="AJ27" s="39">
        <f>IF($B27="","",COUNTIF(D27:AH27,"R"))</f>
        <v/>
      </c>
      <c r="AK27" s="39">
        <f>IF($B27="","",COUNTIF(D27:AH27,"A"))</f>
        <v/>
      </c>
      <c r="AL27" s="39">
        <f>IF($B27="","",COUNTIF(D27:AH27,"C"))</f>
        <v/>
      </c>
      <c r="AM27" s="39">
        <f>IF($B27="","",COUNTIF(D27:AH27,"M"))</f>
        <v/>
      </c>
      <c r="AN27" s="40">
        <f>IF($B27="","",IF(AI27+AJ27+AK27+AM27=0,"",(AI27+AJ27)/(AI27+AJ27+AK27+AM27)))</f>
        <v/>
      </c>
      <c r="AO27" s="41">
        <f>IF($B27="","",IF('Employés'!D25="","",(AI27+AJ27+AL27)*'Employés'!D25))</f>
        <v/>
      </c>
    </row>
    <row r="28" ht="20" customHeight="1">
      <c r="A28" s="37">
        <f>IF('Employés'!B26="","",'Employés'!A26)</f>
        <v/>
      </c>
      <c r="B28" s="38">
        <f>IF('Employés'!B26="","",'Employés'!B26)</f>
        <v/>
      </c>
      <c r="C28" s="38">
        <f>IF('Employés'!C26="","",'Employés'!C26)</f>
        <v/>
      </c>
      <c r="D28" s="37" t="n"/>
      <c r="E28" s="37" t="n"/>
      <c r="F28" s="37" t="n"/>
      <c r="G28" s="37" t="n"/>
      <c r="H28" s="37" t="n"/>
      <c r="I28" s="37" t="n"/>
      <c r="J28" s="37" t="n"/>
      <c r="K28" s="37" t="n"/>
      <c r="L28" s="37" t="n"/>
      <c r="M28" s="37" t="n"/>
      <c r="N28" s="37" t="n"/>
      <c r="O28" s="37" t="n"/>
      <c r="P28" s="37" t="n"/>
      <c r="Q28" s="37" t="n"/>
      <c r="R28" s="37" t="n"/>
      <c r="S28" s="37" t="n"/>
      <c r="T28" s="37" t="n"/>
      <c r="U28" s="37" t="n"/>
      <c r="V28" s="37" t="n"/>
      <c r="W28" s="37" t="n"/>
      <c r="X28" s="37" t="n"/>
      <c r="Y28" s="37" t="n"/>
      <c r="Z28" s="37" t="n"/>
      <c r="AA28" s="37" t="n"/>
      <c r="AB28" s="37" t="n"/>
      <c r="AC28" s="37" t="n"/>
      <c r="AD28" s="37" t="n"/>
      <c r="AE28" s="37" t="n"/>
      <c r="AF28" s="37" t="n"/>
      <c r="AG28" s="37" t="n"/>
      <c r="AH28" s="37" t="n"/>
      <c r="AI28" s="39">
        <f>IF($B28="","",COUNTIF(D28:AH28,"P"))</f>
        <v/>
      </c>
      <c r="AJ28" s="39">
        <f>IF($B28="","",COUNTIF(D28:AH28,"R"))</f>
        <v/>
      </c>
      <c r="AK28" s="39">
        <f>IF($B28="","",COUNTIF(D28:AH28,"A"))</f>
        <v/>
      </c>
      <c r="AL28" s="39">
        <f>IF($B28="","",COUNTIF(D28:AH28,"C"))</f>
        <v/>
      </c>
      <c r="AM28" s="39">
        <f>IF($B28="","",COUNTIF(D28:AH28,"M"))</f>
        <v/>
      </c>
      <c r="AN28" s="40">
        <f>IF($B28="","",IF(AI28+AJ28+AK28+AM28=0,"",(AI28+AJ28)/(AI28+AJ28+AK28+AM28)))</f>
        <v/>
      </c>
      <c r="AO28" s="41">
        <f>IF($B28="","",IF('Employés'!D26="","",(AI28+AJ28+AL28)*'Employés'!D26))</f>
        <v/>
      </c>
    </row>
    <row r="29" ht="20" customHeight="1">
      <c r="A29" s="37">
        <f>IF('Employés'!B27="","",'Employés'!A27)</f>
        <v/>
      </c>
      <c r="B29" s="38">
        <f>IF('Employés'!B27="","",'Employés'!B27)</f>
        <v/>
      </c>
      <c r="C29" s="38">
        <f>IF('Employés'!C27="","",'Employés'!C27)</f>
        <v/>
      </c>
      <c r="D29" s="37" t="n"/>
      <c r="E29" s="37" t="n"/>
      <c r="F29" s="37" t="n"/>
      <c r="G29" s="37" t="n"/>
      <c r="H29" s="37" t="n"/>
      <c r="I29" s="37" t="n"/>
      <c r="J29" s="37" t="n"/>
      <c r="K29" s="37" t="n"/>
      <c r="L29" s="37" t="n"/>
      <c r="M29" s="37" t="n"/>
      <c r="N29" s="37" t="n"/>
      <c r="O29" s="37" t="n"/>
      <c r="P29" s="37" t="n"/>
      <c r="Q29" s="37" t="n"/>
      <c r="R29" s="37" t="n"/>
      <c r="S29" s="37" t="n"/>
      <c r="T29" s="37" t="n"/>
      <c r="U29" s="37" t="n"/>
      <c r="V29" s="37" t="n"/>
      <c r="W29" s="37" t="n"/>
      <c r="X29" s="37" t="n"/>
      <c r="Y29" s="37" t="n"/>
      <c r="Z29" s="37" t="n"/>
      <c r="AA29" s="37" t="n"/>
      <c r="AB29" s="37" t="n"/>
      <c r="AC29" s="37" t="n"/>
      <c r="AD29" s="37" t="n"/>
      <c r="AE29" s="37" t="n"/>
      <c r="AF29" s="37" t="n"/>
      <c r="AG29" s="37" t="n"/>
      <c r="AH29" s="37" t="n"/>
      <c r="AI29" s="39">
        <f>IF($B29="","",COUNTIF(D29:AH29,"P"))</f>
        <v/>
      </c>
      <c r="AJ29" s="39">
        <f>IF($B29="","",COUNTIF(D29:AH29,"R"))</f>
        <v/>
      </c>
      <c r="AK29" s="39">
        <f>IF($B29="","",COUNTIF(D29:AH29,"A"))</f>
        <v/>
      </c>
      <c r="AL29" s="39">
        <f>IF($B29="","",COUNTIF(D29:AH29,"C"))</f>
        <v/>
      </c>
      <c r="AM29" s="39">
        <f>IF($B29="","",COUNTIF(D29:AH29,"M"))</f>
        <v/>
      </c>
      <c r="AN29" s="40">
        <f>IF($B29="","",IF(AI29+AJ29+AK29+AM29=0,"",(AI29+AJ29)/(AI29+AJ29+AK29+AM29)))</f>
        <v/>
      </c>
      <c r="AO29" s="41">
        <f>IF($B29="","",IF('Employés'!D27="","",(AI29+AJ29+AL29)*'Employés'!D27))</f>
        <v/>
      </c>
    </row>
    <row r="30" ht="20" customHeight="1">
      <c r="A30" s="37">
        <f>IF('Employés'!B28="","",'Employés'!A28)</f>
        <v/>
      </c>
      <c r="B30" s="38">
        <f>IF('Employés'!B28="","",'Employés'!B28)</f>
        <v/>
      </c>
      <c r="C30" s="38">
        <f>IF('Employés'!C28="","",'Employés'!C28)</f>
        <v/>
      </c>
      <c r="D30" s="37" t="n"/>
      <c r="E30" s="37" t="n"/>
      <c r="F30" s="37" t="n"/>
      <c r="G30" s="37" t="n"/>
      <c r="H30" s="37" t="n"/>
      <c r="I30" s="37" t="n"/>
      <c r="J30" s="37" t="n"/>
      <c r="K30" s="37" t="n"/>
      <c r="L30" s="37" t="n"/>
      <c r="M30" s="37" t="n"/>
      <c r="N30" s="37" t="n"/>
      <c r="O30" s="37" t="n"/>
      <c r="P30" s="37" t="n"/>
      <c r="Q30" s="37" t="n"/>
      <c r="R30" s="37" t="n"/>
      <c r="S30" s="37" t="n"/>
      <c r="T30" s="37" t="n"/>
      <c r="U30" s="37" t="n"/>
      <c r="V30" s="37" t="n"/>
      <c r="W30" s="37" t="n"/>
      <c r="X30" s="37" t="n"/>
      <c r="Y30" s="37" t="n"/>
      <c r="Z30" s="37" t="n"/>
      <c r="AA30" s="37" t="n"/>
      <c r="AB30" s="37" t="n"/>
      <c r="AC30" s="37" t="n"/>
      <c r="AD30" s="37" t="n"/>
      <c r="AE30" s="37" t="n"/>
      <c r="AF30" s="37" t="n"/>
      <c r="AG30" s="37" t="n"/>
      <c r="AH30" s="37" t="n"/>
      <c r="AI30" s="39">
        <f>IF($B30="","",COUNTIF(D30:AH30,"P"))</f>
        <v/>
      </c>
      <c r="AJ30" s="39">
        <f>IF($B30="","",COUNTIF(D30:AH30,"R"))</f>
        <v/>
      </c>
      <c r="AK30" s="39">
        <f>IF($B30="","",COUNTIF(D30:AH30,"A"))</f>
        <v/>
      </c>
      <c r="AL30" s="39">
        <f>IF($B30="","",COUNTIF(D30:AH30,"C"))</f>
        <v/>
      </c>
      <c r="AM30" s="39">
        <f>IF($B30="","",COUNTIF(D30:AH30,"M"))</f>
        <v/>
      </c>
      <c r="AN30" s="40">
        <f>IF($B30="","",IF(AI30+AJ30+AK30+AM30=0,"",(AI30+AJ30)/(AI30+AJ30+AK30+AM30)))</f>
        <v/>
      </c>
      <c r="AO30" s="41">
        <f>IF($B30="","",IF('Employés'!D28="","",(AI30+AJ30+AL30)*'Employés'!D28))</f>
        <v/>
      </c>
    </row>
    <row r="31" ht="20" customHeight="1">
      <c r="A31" s="37">
        <f>IF('Employés'!B29="","",'Employés'!A29)</f>
        <v/>
      </c>
      <c r="B31" s="38">
        <f>IF('Employés'!B29="","",'Employés'!B29)</f>
        <v/>
      </c>
      <c r="C31" s="38">
        <f>IF('Employés'!C29="","",'Employés'!C29)</f>
        <v/>
      </c>
      <c r="D31" s="37" t="n"/>
      <c r="E31" s="37" t="n"/>
      <c r="F31" s="37" t="n"/>
      <c r="G31" s="37" t="n"/>
      <c r="H31" s="37" t="n"/>
      <c r="I31" s="37" t="n"/>
      <c r="J31" s="37" t="n"/>
      <c r="K31" s="37" t="n"/>
      <c r="L31" s="37" t="n"/>
      <c r="M31" s="37" t="n"/>
      <c r="N31" s="37" t="n"/>
      <c r="O31" s="37" t="n"/>
      <c r="P31" s="37" t="n"/>
      <c r="Q31" s="37" t="n"/>
      <c r="R31" s="37" t="n"/>
      <c r="S31" s="37" t="n"/>
      <c r="T31" s="37" t="n"/>
      <c r="U31" s="37" t="n"/>
      <c r="V31" s="37" t="n"/>
      <c r="W31" s="37" t="n"/>
      <c r="X31" s="37" t="n"/>
      <c r="Y31" s="37" t="n"/>
      <c r="Z31" s="37" t="n"/>
      <c r="AA31" s="37" t="n"/>
      <c r="AB31" s="37" t="n"/>
      <c r="AC31" s="37" t="n"/>
      <c r="AD31" s="37" t="n"/>
      <c r="AE31" s="37" t="n"/>
      <c r="AF31" s="37" t="n"/>
      <c r="AG31" s="37" t="n"/>
      <c r="AH31" s="37" t="n"/>
      <c r="AI31" s="39">
        <f>IF($B31="","",COUNTIF(D31:AH31,"P"))</f>
        <v/>
      </c>
      <c r="AJ31" s="39">
        <f>IF($B31="","",COUNTIF(D31:AH31,"R"))</f>
        <v/>
      </c>
      <c r="AK31" s="39">
        <f>IF($B31="","",COUNTIF(D31:AH31,"A"))</f>
        <v/>
      </c>
      <c r="AL31" s="39">
        <f>IF($B31="","",COUNTIF(D31:AH31,"C"))</f>
        <v/>
      </c>
      <c r="AM31" s="39">
        <f>IF($B31="","",COUNTIF(D31:AH31,"M"))</f>
        <v/>
      </c>
      <c r="AN31" s="40">
        <f>IF($B31="","",IF(AI31+AJ31+AK31+AM31=0,"",(AI31+AJ31)/(AI31+AJ31+AK31+AM31)))</f>
        <v/>
      </c>
      <c r="AO31" s="41">
        <f>IF($B31="","",IF('Employés'!D29="","",(AI31+AJ31+AL31)*'Employés'!D29))</f>
        <v/>
      </c>
    </row>
    <row r="32" ht="20" customHeight="1">
      <c r="A32" s="37">
        <f>IF('Employés'!B30="","",'Employés'!A30)</f>
        <v/>
      </c>
      <c r="B32" s="38">
        <f>IF('Employés'!B30="","",'Employés'!B30)</f>
        <v/>
      </c>
      <c r="C32" s="38">
        <f>IF('Employés'!C30="","",'Employés'!C30)</f>
        <v/>
      </c>
      <c r="D32" s="37" t="n"/>
      <c r="E32" s="37" t="n"/>
      <c r="F32" s="37" t="n"/>
      <c r="G32" s="37" t="n"/>
      <c r="H32" s="37" t="n"/>
      <c r="I32" s="37" t="n"/>
      <c r="J32" s="37" t="n"/>
      <c r="K32" s="37" t="n"/>
      <c r="L32" s="37" t="n"/>
      <c r="M32" s="37" t="n"/>
      <c r="N32" s="37" t="n"/>
      <c r="O32" s="37" t="n"/>
      <c r="P32" s="37" t="n"/>
      <c r="Q32" s="37" t="n"/>
      <c r="R32" s="37" t="n"/>
      <c r="S32" s="37" t="n"/>
      <c r="T32" s="37" t="n"/>
      <c r="U32" s="37" t="n"/>
      <c r="V32" s="37" t="n"/>
      <c r="W32" s="37" t="n"/>
      <c r="X32" s="37" t="n"/>
      <c r="Y32" s="37" t="n"/>
      <c r="Z32" s="37" t="n"/>
      <c r="AA32" s="37" t="n"/>
      <c r="AB32" s="37" t="n"/>
      <c r="AC32" s="37" t="n"/>
      <c r="AD32" s="37" t="n"/>
      <c r="AE32" s="37" t="n"/>
      <c r="AF32" s="37" t="n"/>
      <c r="AG32" s="37" t="n"/>
      <c r="AH32" s="37" t="n"/>
      <c r="AI32" s="39">
        <f>IF($B32="","",COUNTIF(D32:AH32,"P"))</f>
        <v/>
      </c>
      <c r="AJ32" s="39">
        <f>IF($B32="","",COUNTIF(D32:AH32,"R"))</f>
        <v/>
      </c>
      <c r="AK32" s="39">
        <f>IF($B32="","",COUNTIF(D32:AH32,"A"))</f>
        <v/>
      </c>
      <c r="AL32" s="39">
        <f>IF($B32="","",COUNTIF(D32:AH32,"C"))</f>
        <v/>
      </c>
      <c r="AM32" s="39">
        <f>IF($B32="","",COUNTIF(D32:AH32,"M"))</f>
        <v/>
      </c>
      <c r="AN32" s="40">
        <f>IF($B32="","",IF(AI32+AJ32+AK32+AM32=0,"",(AI32+AJ32)/(AI32+AJ32+AK32+AM32)))</f>
        <v/>
      </c>
      <c r="AO32" s="41">
        <f>IF($B32="","",IF('Employés'!D30="","",(AI32+AJ32+AL32)*'Employés'!D30))</f>
        <v/>
      </c>
    </row>
    <row r="33" ht="20" customHeight="1">
      <c r="A33" s="37">
        <f>IF('Employés'!B31="","",'Employés'!A31)</f>
        <v/>
      </c>
      <c r="B33" s="38">
        <f>IF('Employés'!B31="","",'Employés'!B31)</f>
        <v/>
      </c>
      <c r="C33" s="38">
        <f>IF('Employés'!C31="","",'Employés'!C31)</f>
        <v/>
      </c>
      <c r="D33" s="37" t="n"/>
      <c r="E33" s="37" t="n"/>
      <c r="F33" s="37" t="n"/>
      <c r="G33" s="37" t="n"/>
      <c r="H33" s="37" t="n"/>
      <c r="I33" s="37" t="n"/>
      <c r="J33" s="37" t="n"/>
      <c r="K33" s="37" t="n"/>
      <c r="L33" s="37" t="n"/>
      <c r="M33" s="37" t="n"/>
      <c r="N33" s="37" t="n"/>
      <c r="O33" s="37" t="n"/>
      <c r="P33" s="37" t="n"/>
      <c r="Q33" s="37" t="n"/>
      <c r="R33" s="37" t="n"/>
      <c r="S33" s="37" t="n"/>
      <c r="T33" s="37" t="n"/>
      <c r="U33" s="37" t="n"/>
      <c r="V33" s="37" t="n"/>
      <c r="W33" s="37" t="n"/>
      <c r="X33" s="37" t="n"/>
      <c r="Y33" s="37" t="n"/>
      <c r="Z33" s="37" t="n"/>
      <c r="AA33" s="37" t="n"/>
      <c r="AB33" s="37" t="n"/>
      <c r="AC33" s="37" t="n"/>
      <c r="AD33" s="37" t="n"/>
      <c r="AE33" s="37" t="n"/>
      <c r="AF33" s="37" t="n"/>
      <c r="AG33" s="37" t="n"/>
      <c r="AH33" s="37" t="n"/>
      <c r="AI33" s="39">
        <f>IF($B33="","",COUNTIF(D33:AH33,"P"))</f>
        <v/>
      </c>
      <c r="AJ33" s="39">
        <f>IF($B33="","",COUNTIF(D33:AH33,"R"))</f>
        <v/>
      </c>
      <c r="AK33" s="39">
        <f>IF($B33="","",COUNTIF(D33:AH33,"A"))</f>
        <v/>
      </c>
      <c r="AL33" s="39">
        <f>IF($B33="","",COUNTIF(D33:AH33,"C"))</f>
        <v/>
      </c>
      <c r="AM33" s="39">
        <f>IF($B33="","",COUNTIF(D33:AH33,"M"))</f>
        <v/>
      </c>
      <c r="AN33" s="40">
        <f>IF($B33="","",IF(AI33+AJ33+AK33+AM33=0,"",(AI33+AJ33)/(AI33+AJ33+AK33+AM33)))</f>
        <v/>
      </c>
      <c r="AO33" s="41">
        <f>IF($B33="","",IF('Employés'!D31="","",(AI33+AJ33+AL33)*'Employés'!D31))</f>
        <v/>
      </c>
    </row>
    <row r="34" ht="20" customHeight="1">
      <c r="A34" s="37">
        <f>IF('Employés'!B32="","",'Employés'!A32)</f>
        <v/>
      </c>
      <c r="B34" s="38">
        <f>IF('Employés'!B32="","",'Employés'!B32)</f>
        <v/>
      </c>
      <c r="C34" s="38">
        <f>IF('Employés'!C32="","",'Employés'!C32)</f>
        <v/>
      </c>
      <c r="D34" s="37" t="n"/>
      <c r="E34" s="37" t="n"/>
      <c r="F34" s="37" t="n"/>
      <c r="G34" s="37" t="n"/>
      <c r="H34" s="37" t="n"/>
      <c r="I34" s="37" t="n"/>
      <c r="J34" s="37" t="n"/>
      <c r="K34" s="37" t="n"/>
      <c r="L34" s="37" t="n"/>
      <c r="M34" s="37" t="n"/>
      <c r="N34" s="37" t="n"/>
      <c r="O34" s="37" t="n"/>
      <c r="P34" s="37" t="n"/>
      <c r="Q34" s="37" t="n"/>
      <c r="R34" s="37" t="n"/>
      <c r="S34" s="37" t="n"/>
      <c r="T34" s="37" t="n"/>
      <c r="U34" s="37" t="n"/>
      <c r="V34" s="37" t="n"/>
      <c r="W34" s="37" t="n"/>
      <c r="X34" s="37" t="n"/>
      <c r="Y34" s="37" t="n"/>
      <c r="Z34" s="37" t="n"/>
      <c r="AA34" s="37" t="n"/>
      <c r="AB34" s="37" t="n"/>
      <c r="AC34" s="37" t="n"/>
      <c r="AD34" s="37" t="n"/>
      <c r="AE34" s="37" t="n"/>
      <c r="AF34" s="37" t="n"/>
      <c r="AG34" s="37" t="n"/>
      <c r="AH34" s="37" t="n"/>
      <c r="AI34" s="39">
        <f>IF($B34="","",COUNTIF(D34:AH34,"P"))</f>
        <v/>
      </c>
      <c r="AJ34" s="39">
        <f>IF($B34="","",COUNTIF(D34:AH34,"R"))</f>
        <v/>
      </c>
      <c r="AK34" s="39">
        <f>IF($B34="","",COUNTIF(D34:AH34,"A"))</f>
        <v/>
      </c>
      <c r="AL34" s="39">
        <f>IF($B34="","",COUNTIF(D34:AH34,"C"))</f>
        <v/>
      </c>
      <c r="AM34" s="39">
        <f>IF($B34="","",COUNTIF(D34:AH34,"M"))</f>
        <v/>
      </c>
      <c r="AN34" s="40">
        <f>IF($B34="","",IF(AI34+AJ34+AK34+AM34=0,"",(AI34+AJ34)/(AI34+AJ34+AK34+AM34)))</f>
        <v/>
      </c>
      <c r="AO34" s="41">
        <f>IF($B34="","",IF('Employés'!D32="","",(AI34+AJ34+AL34)*'Employés'!D32))</f>
        <v/>
      </c>
    </row>
    <row r="35" ht="20" customHeight="1">
      <c r="A35" s="37">
        <f>IF('Employés'!B33="","",'Employés'!A33)</f>
        <v/>
      </c>
      <c r="B35" s="38">
        <f>IF('Employés'!B33="","",'Employés'!B33)</f>
        <v/>
      </c>
      <c r="C35" s="38">
        <f>IF('Employés'!C33="","",'Employés'!C33)</f>
        <v/>
      </c>
      <c r="D35" s="37" t="n"/>
      <c r="E35" s="37" t="n"/>
      <c r="F35" s="37" t="n"/>
      <c r="G35" s="37" t="n"/>
      <c r="H35" s="37" t="n"/>
      <c r="I35" s="37" t="n"/>
      <c r="J35" s="37" t="n"/>
      <c r="K35" s="37" t="n"/>
      <c r="L35" s="37" t="n"/>
      <c r="M35" s="37" t="n"/>
      <c r="N35" s="37" t="n"/>
      <c r="O35" s="37" t="n"/>
      <c r="P35" s="37" t="n"/>
      <c r="Q35" s="37" t="n"/>
      <c r="R35" s="37" t="n"/>
      <c r="S35" s="37" t="n"/>
      <c r="T35" s="37" t="n"/>
      <c r="U35" s="37" t="n"/>
      <c r="V35" s="37" t="n"/>
      <c r="W35" s="37" t="n"/>
      <c r="X35" s="37" t="n"/>
      <c r="Y35" s="37" t="n"/>
      <c r="Z35" s="37" t="n"/>
      <c r="AA35" s="37" t="n"/>
      <c r="AB35" s="37" t="n"/>
      <c r="AC35" s="37" t="n"/>
      <c r="AD35" s="37" t="n"/>
      <c r="AE35" s="37" t="n"/>
      <c r="AF35" s="37" t="n"/>
      <c r="AG35" s="37" t="n"/>
      <c r="AH35" s="37" t="n"/>
      <c r="AI35" s="39">
        <f>IF($B35="","",COUNTIF(D35:AH35,"P"))</f>
        <v/>
      </c>
      <c r="AJ35" s="39">
        <f>IF($B35="","",COUNTIF(D35:AH35,"R"))</f>
        <v/>
      </c>
      <c r="AK35" s="39">
        <f>IF($B35="","",COUNTIF(D35:AH35,"A"))</f>
        <v/>
      </c>
      <c r="AL35" s="39">
        <f>IF($B35="","",COUNTIF(D35:AH35,"C"))</f>
        <v/>
      </c>
      <c r="AM35" s="39">
        <f>IF($B35="","",COUNTIF(D35:AH35,"M"))</f>
        <v/>
      </c>
      <c r="AN35" s="40">
        <f>IF($B35="","",IF(AI35+AJ35+AK35+AM35=0,"",(AI35+AJ35)/(AI35+AJ35+AK35+AM35)))</f>
        <v/>
      </c>
      <c r="AO35" s="41">
        <f>IF($B35="","",IF('Employés'!D33="","",(AI35+AJ35+AL35)*'Employés'!D33))</f>
        <v/>
      </c>
    </row>
    <row r="36" ht="20" customHeight="1">
      <c r="A36" s="37">
        <f>IF('Employés'!B34="","",'Employés'!A34)</f>
        <v/>
      </c>
      <c r="B36" s="38">
        <f>IF('Employés'!B34="","",'Employés'!B34)</f>
        <v/>
      </c>
      <c r="C36" s="38">
        <f>IF('Employés'!C34="","",'Employés'!C34)</f>
        <v/>
      </c>
      <c r="D36" s="37" t="n"/>
      <c r="E36" s="37" t="n"/>
      <c r="F36" s="37" t="n"/>
      <c r="G36" s="37" t="n"/>
      <c r="H36" s="37" t="n"/>
      <c r="I36" s="37" t="n"/>
      <c r="J36" s="37" t="n"/>
      <c r="K36" s="37" t="n"/>
      <c r="L36" s="37" t="n"/>
      <c r="M36" s="37" t="n"/>
      <c r="N36" s="37" t="n"/>
      <c r="O36" s="37" t="n"/>
      <c r="P36" s="37" t="n"/>
      <c r="Q36" s="37" t="n"/>
      <c r="R36" s="37" t="n"/>
      <c r="S36" s="37" t="n"/>
      <c r="T36" s="37" t="n"/>
      <c r="U36" s="37" t="n"/>
      <c r="V36" s="37" t="n"/>
      <c r="W36" s="37" t="n"/>
      <c r="X36" s="37" t="n"/>
      <c r="Y36" s="37" t="n"/>
      <c r="Z36" s="37" t="n"/>
      <c r="AA36" s="37" t="n"/>
      <c r="AB36" s="37" t="n"/>
      <c r="AC36" s="37" t="n"/>
      <c r="AD36" s="37" t="n"/>
      <c r="AE36" s="37" t="n"/>
      <c r="AF36" s="37" t="n"/>
      <c r="AG36" s="37" t="n"/>
      <c r="AH36" s="37" t="n"/>
      <c r="AI36" s="39">
        <f>IF($B36="","",COUNTIF(D36:AH36,"P"))</f>
        <v/>
      </c>
      <c r="AJ36" s="39">
        <f>IF($B36="","",COUNTIF(D36:AH36,"R"))</f>
        <v/>
      </c>
      <c r="AK36" s="39">
        <f>IF($B36="","",COUNTIF(D36:AH36,"A"))</f>
        <v/>
      </c>
      <c r="AL36" s="39">
        <f>IF($B36="","",COUNTIF(D36:AH36,"C"))</f>
        <v/>
      </c>
      <c r="AM36" s="39">
        <f>IF($B36="","",COUNTIF(D36:AH36,"M"))</f>
        <v/>
      </c>
      <c r="AN36" s="40">
        <f>IF($B36="","",IF(AI36+AJ36+AK36+AM36=0,"",(AI36+AJ36)/(AI36+AJ36+AK36+AM36)))</f>
        <v/>
      </c>
      <c r="AO36" s="41">
        <f>IF($B36="","",IF('Employés'!D34="","",(AI36+AJ36+AL36)*'Employés'!D34))</f>
        <v/>
      </c>
    </row>
    <row r="37">
      <c r="A37" s="42" t="n"/>
      <c r="B37" s="42" t="inlineStr">
        <is>
          <t>TOTAL</t>
        </is>
      </c>
      <c r="C37" s="42" t="n"/>
      <c r="D37" s="42" t="n"/>
      <c r="E37" s="42" t="n"/>
      <c r="F37" s="42" t="n"/>
      <c r="G37" s="42" t="n"/>
      <c r="H37" s="42" t="n"/>
      <c r="I37" s="42" t="n"/>
      <c r="J37" s="42" t="n"/>
      <c r="K37" s="42" t="n"/>
      <c r="L37" s="42" t="n"/>
      <c r="M37" s="42" t="n"/>
      <c r="N37" s="42" t="n"/>
      <c r="O37" s="42" t="n"/>
      <c r="P37" s="42" t="n"/>
      <c r="Q37" s="42" t="n"/>
      <c r="R37" s="42" t="n"/>
      <c r="S37" s="42" t="n"/>
      <c r="T37" s="42" t="n"/>
      <c r="U37" s="42" t="n"/>
      <c r="V37" s="42" t="n"/>
      <c r="W37" s="42" t="n"/>
      <c r="X37" s="42" t="n"/>
      <c r="Y37" s="42" t="n"/>
      <c r="Z37" s="42" t="n"/>
      <c r="AA37" s="42" t="n"/>
      <c r="AB37" s="42" t="n"/>
      <c r="AC37" s="42" t="n"/>
      <c r="AD37" s="42" t="n"/>
      <c r="AE37" s="42" t="n"/>
      <c r="AF37" s="42" t="n"/>
      <c r="AG37" s="42" t="n"/>
      <c r="AH37" s="42" t="n"/>
      <c r="AI37" s="42">
        <f>SUM(AI7:AI36)</f>
        <v/>
      </c>
      <c r="AJ37" s="42">
        <f>SUM(AJ7:AJ36)</f>
        <v/>
      </c>
      <c r="AK37" s="42">
        <f>SUM(AK7:AK36)</f>
        <v/>
      </c>
      <c r="AL37" s="42">
        <f>SUM(AL7:AL36)</f>
        <v/>
      </c>
      <c r="AM37" s="42">
        <f>SUM(AM7:AM36)</f>
        <v/>
      </c>
      <c r="AN37" s="42" t="n"/>
      <c r="AO37" s="43">
        <f>SUM(AO7:AO36)</f>
        <v/>
      </c>
    </row>
  </sheetData>
  <mergeCells count="17">
    <mergeCell ref="A5:A6"/>
    <mergeCell ref="A2:AO2"/>
    <mergeCell ref="AI5:AI6"/>
    <mergeCell ref="D3:G3"/>
    <mergeCell ref="S3:V3"/>
    <mergeCell ref="X3:AA3"/>
    <mergeCell ref="AJ5:AJ6"/>
    <mergeCell ref="AK5:AK6"/>
    <mergeCell ref="I3:L3"/>
    <mergeCell ref="AL5:AL6"/>
    <mergeCell ref="AM5:AM6"/>
    <mergeCell ref="AN5:AN6"/>
    <mergeCell ref="A1:AO1"/>
    <mergeCell ref="N3:Q3"/>
    <mergeCell ref="AO5:AO6"/>
    <mergeCell ref="B5:B6"/>
    <mergeCell ref="C5:C6"/>
  </mergeCells>
  <conditionalFormatting sqref="D7:AH36">
    <cfRule type="expression" priority="1" dxfId="0">
      <formula>UPPER(D7)="P"</formula>
    </cfRule>
    <cfRule type="expression" priority="2" dxfId="1">
      <formula>UPPER(D7)="R"</formula>
    </cfRule>
    <cfRule type="expression" priority="3" dxfId="2">
      <formula>UPPER(D7)="A"</formula>
    </cfRule>
    <cfRule type="expression" priority="4" dxfId="3">
      <formula>UPPER(D7)="C"</formula>
    </cfRule>
    <cfRule type="expression" priority="5" dxfId="4">
      <formula>UPPER(D7)="M"</formula>
    </cfRule>
    <cfRule type="expression" priority="6" dxfId="5">
      <formula>OR(D$6="Sam",D$6="Dim",D$5="")</formula>
    </cfRule>
  </conditionalFormatting>
  <dataValidations count="1">
    <dataValidation sqref="D7:AH36" showDropDown="0" showInputMessage="0" showErrorMessage="1" allowBlank="1" errorTitle="Code inconnu" error="Utilisez P, R, A, C ou M." type="list">
      <formula1>"P,R,A,C,M"</formula1>
    </dataValidation>
  </dataValidations>
  <pageMargins left="0.75" right="0.75" top="1" bottom="1" header="0.5" footer="0.5"/>
  <pageSetup orientation="landscape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AO37"/>
  <sheetViews>
    <sheetView zoomScale="90" workbookViewId="0">
      <pane xSplit="3" ySplit="6" topLeftCell="D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24" customWidth="1" min="2" max="2"/>
    <col width="14" customWidth="1" min="3" max="3"/>
    <col width="4.6" customWidth="1" min="4" max="4"/>
    <col width="4.6" customWidth="1" min="5" max="5"/>
    <col width="4.6" customWidth="1" min="6" max="6"/>
    <col width="4.6" customWidth="1" min="7" max="7"/>
    <col width="4.6" customWidth="1" min="8" max="8"/>
    <col width="4.6" customWidth="1" min="9" max="9"/>
    <col width="4.6" customWidth="1" min="10" max="10"/>
    <col width="4.6" customWidth="1" min="11" max="11"/>
    <col width="4.6" customWidth="1" min="12" max="12"/>
    <col width="4.6" customWidth="1" min="13" max="13"/>
    <col width="4.6" customWidth="1" min="14" max="14"/>
    <col width="4.6" customWidth="1" min="15" max="15"/>
    <col width="4.6" customWidth="1" min="16" max="16"/>
    <col width="4.6" customWidth="1" min="17" max="17"/>
    <col width="4.6" customWidth="1" min="18" max="18"/>
    <col width="4.6" customWidth="1" min="19" max="19"/>
    <col width="4.6" customWidth="1" min="20" max="20"/>
    <col width="4.6" customWidth="1" min="21" max="21"/>
    <col width="4.6" customWidth="1" min="22" max="22"/>
    <col width="4.6" customWidth="1" min="23" max="23"/>
    <col width="4.6" customWidth="1" min="24" max="24"/>
    <col width="4.6" customWidth="1" min="25" max="25"/>
    <col width="4.6" customWidth="1" min="26" max="26"/>
    <col width="4.6" customWidth="1" min="27" max="27"/>
    <col width="4.6" customWidth="1" min="28" max="28"/>
    <col width="4.6" customWidth="1" min="29" max="29"/>
    <col width="4.6" customWidth="1" min="30" max="30"/>
    <col width="4.6" customWidth="1" min="31" max="31"/>
    <col width="4.6" customWidth="1" min="32" max="32"/>
    <col width="4.6" customWidth="1" min="33" max="33"/>
    <col width="4.6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13" customWidth="1" min="40" max="40"/>
    <col width="13" customWidth="1" min="41" max="41"/>
  </cols>
  <sheetData>
    <row r="1" ht="34" customHeight="1">
      <c r="A1" s="1">
        <f>'Paramètres'!$B$4&amp;" · Pointage de Septembre "&amp;'Paramètres'!$B$5</f>
        <v/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</row>
    <row r="2" ht="20" customHeight="1">
      <c r="A2" s="3" t="inlineStr">
        <is>
          <t>Outil offert par Logia (DWTS) · Un logiciel sur mesure pour votre entreprise ? WhatsApp 062 67 14 45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2" t="n"/>
      <c r="AL2" s="2" t="n"/>
      <c r="AM2" s="2" t="n"/>
      <c r="AN2" s="2" t="n"/>
      <c r="AO2" s="2" t="n"/>
    </row>
    <row r="3">
      <c r="A3" s="6" t="inlineStr">
        <is>
          <t>Codes :</t>
        </is>
      </c>
      <c r="D3" s="30" t="inlineStr">
        <is>
          <t>P = Présent</t>
        </is>
      </c>
      <c r="I3" s="31" t="inlineStr">
        <is>
          <t>R = En retard</t>
        </is>
      </c>
      <c r="N3" s="32" t="inlineStr">
        <is>
          <t>A = Absent</t>
        </is>
      </c>
      <c r="S3" s="33" t="inlineStr">
        <is>
          <t>C = Congé</t>
        </is>
      </c>
      <c r="X3" s="34" t="inlineStr">
        <is>
          <t>M = Malade</t>
        </is>
      </c>
    </row>
    <row r="5" ht="22" customHeight="1">
      <c r="A5" s="35" t="inlineStr">
        <is>
          <t>ID</t>
        </is>
      </c>
      <c r="B5" s="35" t="inlineStr">
        <is>
          <t>Nom</t>
        </is>
      </c>
      <c r="C5" s="35" t="inlineStr">
        <is>
          <t>Poste</t>
        </is>
      </c>
      <c r="D5" s="35">
        <f>IF(MONTH(DATE('Paramètres'!$B$5,9,1))=9,1,"")</f>
        <v/>
      </c>
      <c r="E5" s="35">
        <f>IF(MONTH(DATE('Paramètres'!$B$5,9,2))=9,2,"")</f>
        <v/>
      </c>
      <c r="F5" s="35">
        <f>IF(MONTH(DATE('Paramètres'!$B$5,9,3))=9,3,"")</f>
        <v/>
      </c>
      <c r="G5" s="35">
        <f>IF(MONTH(DATE('Paramètres'!$B$5,9,4))=9,4,"")</f>
        <v/>
      </c>
      <c r="H5" s="35">
        <f>IF(MONTH(DATE('Paramètres'!$B$5,9,5))=9,5,"")</f>
        <v/>
      </c>
      <c r="I5" s="35">
        <f>IF(MONTH(DATE('Paramètres'!$B$5,9,6))=9,6,"")</f>
        <v/>
      </c>
      <c r="J5" s="35">
        <f>IF(MONTH(DATE('Paramètres'!$B$5,9,7))=9,7,"")</f>
        <v/>
      </c>
      <c r="K5" s="35">
        <f>IF(MONTH(DATE('Paramètres'!$B$5,9,8))=9,8,"")</f>
        <v/>
      </c>
      <c r="L5" s="35">
        <f>IF(MONTH(DATE('Paramètres'!$B$5,9,9))=9,9,"")</f>
        <v/>
      </c>
      <c r="M5" s="35">
        <f>IF(MONTH(DATE('Paramètres'!$B$5,9,10))=9,10,"")</f>
        <v/>
      </c>
      <c r="N5" s="35">
        <f>IF(MONTH(DATE('Paramètres'!$B$5,9,11))=9,11,"")</f>
        <v/>
      </c>
      <c r="O5" s="35">
        <f>IF(MONTH(DATE('Paramètres'!$B$5,9,12))=9,12,"")</f>
        <v/>
      </c>
      <c r="P5" s="35">
        <f>IF(MONTH(DATE('Paramètres'!$B$5,9,13))=9,13,"")</f>
        <v/>
      </c>
      <c r="Q5" s="35">
        <f>IF(MONTH(DATE('Paramètres'!$B$5,9,14))=9,14,"")</f>
        <v/>
      </c>
      <c r="R5" s="35">
        <f>IF(MONTH(DATE('Paramètres'!$B$5,9,15))=9,15,"")</f>
        <v/>
      </c>
      <c r="S5" s="35">
        <f>IF(MONTH(DATE('Paramètres'!$B$5,9,16))=9,16,"")</f>
        <v/>
      </c>
      <c r="T5" s="35">
        <f>IF(MONTH(DATE('Paramètres'!$B$5,9,17))=9,17,"")</f>
        <v/>
      </c>
      <c r="U5" s="35">
        <f>IF(MONTH(DATE('Paramètres'!$B$5,9,18))=9,18,"")</f>
        <v/>
      </c>
      <c r="V5" s="35">
        <f>IF(MONTH(DATE('Paramètres'!$B$5,9,19))=9,19,"")</f>
        <v/>
      </c>
      <c r="W5" s="35">
        <f>IF(MONTH(DATE('Paramètres'!$B$5,9,20))=9,20,"")</f>
        <v/>
      </c>
      <c r="X5" s="35">
        <f>IF(MONTH(DATE('Paramètres'!$B$5,9,21))=9,21,"")</f>
        <v/>
      </c>
      <c r="Y5" s="35">
        <f>IF(MONTH(DATE('Paramètres'!$B$5,9,22))=9,22,"")</f>
        <v/>
      </c>
      <c r="Z5" s="35">
        <f>IF(MONTH(DATE('Paramètres'!$B$5,9,23))=9,23,"")</f>
        <v/>
      </c>
      <c r="AA5" s="35">
        <f>IF(MONTH(DATE('Paramètres'!$B$5,9,24))=9,24,"")</f>
        <v/>
      </c>
      <c r="AB5" s="35">
        <f>IF(MONTH(DATE('Paramètres'!$B$5,9,25))=9,25,"")</f>
        <v/>
      </c>
      <c r="AC5" s="35">
        <f>IF(MONTH(DATE('Paramètres'!$B$5,9,26))=9,26,"")</f>
        <v/>
      </c>
      <c r="AD5" s="35">
        <f>IF(MONTH(DATE('Paramètres'!$B$5,9,27))=9,27,"")</f>
        <v/>
      </c>
      <c r="AE5" s="35">
        <f>IF(MONTH(DATE('Paramètres'!$B$5,9,28))=9,28,"")</f>
        <v/>
      </c>
      <c r="AF5" s="35">
        <f>IF(MONTH(DATE('Paramètres'!$B$5,9,29))=9,29,"")</f>
        <v/>
      </c>
      <c r="AG5" s="35">
        <f>IF(MONTH(DATE('Paramètres'!$B$5,9,30))=9,30,"")</f>
        <v/>
      </c>
      <c r="AH5" s="35">
        <f>IF(MONTH(DATE('Paramètres'!$B$5,9,31))=9,31,"")</f>
        <v/>
      </c>
      <c r="AI5" s="36" t="inlineStr">
        <is>
          <t>Présent</t>
        </is>
      </c>
      <c r="AJ5" s="36" t="inlineStr">
        <is>
          <t>Retard</t>
        </is>
      </c>
      <c r="AK5" s="36" t="inlineStr">
        <is>
          <t>Absent</t>
        </is>
      </c>
      <c r="AL5" s="36" t="inlineStr">
        <is>
          <t>Congé</t>
        </is>
      </c>
      <c r="AM5" s="36" t="inlineStr">
        <is>
          <t>Malade</t>
        </is>
      </c>
      <c r="AN5" s="36" t="inlineStr">
        <is>
          <t>Taux de présence</t>
        </is>
      </c>
      <c r="AO5" s="36" t="inlineStr">
        <is>
          <t>Salaire dû</t>
        </is>
      </c>
    </row>
    <row r="6" ht="22" customHeight="1">
      <c r="A6" s="35" t="n"/>
      <c r="B6" s="35" t="n"/>
      <c r="C6" s="35" t="n"/>
      <c r="D6" s="35">
        <f>IF(D5="","",CHOOSE(WEEKDAY(DATE('Paramètres'!$B$5,9,1),2),"Lun","Mar","Mer","Jeu","Ven","Sam","Dim"))</f>
        <v/>
      </c>
      <c r="E6" s="35">
        <f>IF(E5="","",CHOOSE(WEEKDAY(DATE('Paramètres'!$B$5,9,2),2),"Lun","Mar","Mer","Jeu","Ven","Sam","Dim"))</f>
        <v/>
      </c>
      <c r="F6" s="35">
        <f>IF(F5="","",CHOOSE(WEEKDAY(DATE('Paramètres'!$B$5,9,3),2),"Lun","Mar","Mer","Jeu","Ven","Sam","Dim"))</f>
        <v/>
      </c>
      <c r="G6" s="35">
        <f>IF(G5="","",CHOOSE(WEEKDAY(DATE('Paramètres'!$B$5,9,4),2),"Lun","Mar","Mer","Jeu","Ven","Sam","Dim"))</f>
        <v/>
      </c>
      <c r="H6" s="35">
        <f>IF(H5="","",CHOOSE(WEEKDAY(DATE('Paramètres'!$B$5,9,5),2),"Lun","Mar","Mer","Jeu","Ven","Sam","Dim"))</f>
        <v/>
      </c>
      <c r="I6" s="35">
        <f>IF(I5="","",CHOOSE(WEEKDAY(DATE('Paramètres'!$B$5,9,6),2),"Lun","Mar","Mer","Jeu","Ven","Sam","Dim"))</f>
        <v/>
      </c>
      <c r="J6" s="35">
        <f>IF(J5="","",CHOOSE(WEEKDAY(DATE('Paramètres'!$B$5,9,7),2),"Lun","Mar","Mer","Jeu","Ven","Sam","Dim"))</f>
        <v/>
      </c>
      <c r="K6" s="35">
        <f>IF(K5="","",CHOOSE(WEEKDAY(DATE('Paramètres'!$B$5,9,8),2),"Lun","Mar","Mer","Jeu","Ven","Sam","Dim"))</f>
        <v/>
      </c>
      <c r="L6" s="35">
        <f>IF(L5="","",CHOOSE(WEEKDAY(DATE('Paramètres'!$B$5,9,9),2),"Lun","Mar","Mer","Jeu","Ven","Sam","Dim"))</f>
        <v/>
      </c>
      <c r="M6" s="35">
        <f>IF(M5="","",CHOOSE(WEEKDAY(DATE('Paramètres'!$B$5,9,10),2),"Lun","Mar","Mer","Jeu","Ven","Sam","Dim"))</f>
        <v/>
      </c>
      <c r="N6" s="35">
        <f>IF(N5="","",CHOOSE(WEEKDAY(DATE('Paramètres'!$B$5,9,11),2),"Lun","Mar","Mer","Jeu","Ven","Sam","Dim"))</f>
        <v/>
      </c>
      <c r="O6" s="35">
        <f>IF(O5="","",CHOOSE(WEEKDAY(DATE('Paramètres'!$B$5,9,12),2),"Lun","Mar","Mer","Jeu","Ven","Sam","Dim"))</f>
        <v/>
      </c>
      <c r="P6" s="35">
        <f>IF(P5="","",CHOOSE(WEEKDAY(DATE('Paramètres'!$B$5,9,13),2),"Lun","Mar","Mer","Jeu","Ven","Sam","Dim"))</f>
        <v/>
      </c>
      <c r="Q6" s="35">
        <f>IF(Q5="","",CHOOSE(WEEKDAY(DATE('Paramètres'!$B$5,9,14),2),"Lun","Mar","Mer","Jeu","Ven","Sam","Dim"))</f>
        <v/>
      </c>
      <c r="R6" s="35">
        <f>IF(R5="","",CHOOSE(WEEKDAY(DATE('Paramètres'!$B$5,9,15),2),"Lun","Mar","Mer","Jeu","Ven","Sam","Dim"))</f>
        <v/>
      </c>
      <c r="S6" s="35">
        <f>IF(S5="","",CHOOSE(WEEKDAY(DATE('Paramètres'!$B$5,9,16),2),"Lun","Mar","Mer","Jeu","Ven","Sam","Dim"))</f>
        <v/>
      </c>
      <c r="T6" s="35">
        <f>IF(T5="","",CHOOSE(WEEKDAY(DATE('Paramètres'!$B$5,9,17),2),"Lun","Mar","Mer","Jeu","Ven","Sam","Dim"))</f>
        <v/>
      </c>
      <c r="U6" s="35">
        <f>IF(U5="","",CHOOSE(WEEKDAY(DATE('Paramètres'!$B$5,9,18),2),"Lun","Mar","Mer","Jeu","Ven","Sam","Dim"))</f>
        <v/>
      </c>
      <c r="V6" s="35">
        <f>IF(V5="","",CHOOSE(WEEKDAY(DATE('Paramètres'!$B$5,9,19),2),"Lun","Mar","Mer","Jeu","Ven","Sam","Dim"))</f>
        <v/>
      </c>
      <c r="W6" s="35">
        <f>IF(W5="","",CHOOSE(WEEKDAY(DATE('Paramètres'!$B$5,9,20),2),"Lun","Mar","Mer","Jeu","Ven","Sam","Dim"))</f>
        <v/>
      </c>
      <c r="X6" s="35">
        <f>IF(X5="","",CHOOSE(WEEKDAY(DATE('Paramètres'!$B$5,9,21),2),"Lun","Mar","Mer","Jeu","Ven","Sam","Dim"))</f>
        <v/>
      </c>
      <c r="Y6" s="35">
        <f>IF(Y5="","",CHOOSE(WEEKDAY(DATE('Paramètres'!$B$5,9,22),2),"Lun","Mar","Mer","Jeu","Ven","Sam","Dim"))</f>
        <v/>
      </c>
      <c r="Z6" s="35">
        <f>IF(Z5="","",CHOOSE(WEEKDAY(DATE('Paramètres'!$B$5,9,23),2),"Lun","Mar","Mer","Jeu","Ven","Sam","Dim"))</f>
        <v/>
      </c>
      <c r="AA6" s="35">
        <f>IF(AA5="","",CHOOSE(WEEKDAY(DATE('Paramètres'!$B$5,9,24),2),"Lun","Mar","Mer","Jeu","Ven","Sam","Dim"))</f>
        <v/>
      </c>
      <c r="AB6" s="35">
        <f>IF(AB5="","",CHOOSE(WEEKDAY(DATE('Paramètres'!$B$5,9,25),2),"Lun","Mar","Mer","Jeu","Ven","Sam","Dim"))</f>
        <v/>
      </c>
      <c r="AC6" s="35">
        <f>IF(AC5="","",CHOOSE(WEEKDAY(DATE('Paramètres'!$B$5,9,26),2),"Lun","Mar","Mer","Jeu","Ven","Sam","Dim"))</f>
        <v/>
      </c>
      <c r="AD6" s="35">
        <f>IF(AD5="","",CHOOSE(WEEKDAY(DATE('Paramètres'!$B$5,9,27),2),"Lun","Mar","Mer","Jeu","Ven","Sam","Dim"))</f>
        <v/>
      </c>
      <c r="AE6" s="35">
        <f>IF(AE5="","",CHOOSE(WEEKDAY(DATE('Paramètres'!$B$5,9,28),2),"Lun","Mar","Mer","Jeu","Ven","Sam","Dim"))</f>
        <v/>
      </c>
      <c r="AF6" s="35">
        <f>IF(AF5="","",CHOOSE(WEEKDAY(DATE('Paramètres'!$B$5,9,29),2),"Lun","Mar","Mer","Jeu","Ven","Sam","Dim"))</f>
        <v/>
      </c>
      <c r="AG6" s="35">
        <f>IF(AG5="","",CHOOSE(WEEKDAY(DATE('Paramètres'!$B$5,9,30),2),"Lun","Mar","Mer","Jeu","Ven","Sam","Dim"))</f>
        <v/>
      </c>
      <c r="AH6" s="35">
        <f>IF(AH5="","",CHOOSE(WEEKDAY(DATE('Paramètres'!$B$5,9,31),2),"Lun","Mar","Mer","Jeu","Ven","Sam","Dim"))</f>
        <v/>
      </c>
      <c r="AI6" s="36" t="n"/>
      <c r="AJ6" s="36" t="n"/>
      <c r="AK6" s="36" t="n"/>
      <c r="AL6" s="36" t="n"/>
      <c r="AM6" s="36" t="n"/>
      <c r="AN6" s="36" t="n"/>
      <c r="AO6" s="36" t="n"/>
    </row>
    <row r="7" ht="20" customHeight="1">
      <c r="A7" s="37">
        <f>IF('Employés'!B5="","",'Employés'!A5)</f>
        <v/>
      </c>
      <c r="B7" s="38">
        <f>IF('Employés'!B5="","",'Employés'!B5)</f>
        <v/>
      </c>
      <c r="C7" s="38">
        <f>IF('Employés'!C5="","",'Employés'!C5)</f>
        <v/>
      </c>
      <c r="D7" s="37" t="n"/>
      <c r="E7" s="37" t="n"/>
      <c r="F7" s="37" t="n"/>
      <c r="G7" s="37" t="n"/>
      <c r="H7" s="37" t="n"/>
      <c r="I7" s="37" t="n"/>
      <c r="J7" s="37" t="n"/>
      <c r="K7" s="37" t="n"/>
      <c r="L7" s="37" t="n"/>
      <c r="M7" s="37" t="n"/>
      <c r="N7" s="37" t="n"/>
      <c r="O7" s="37" t="n"/>
      <c r="P7" s="37" t="n"/>
      <c r="Q7" s="37" t="n"/>
      <c r="R7" s="37" t="n"/>
      <c r="S7" s="37" t="n"/>
      <c r="T7" s="37" t="n"/>
      <c r="U7" s="37" t="n"/>
      <c r="V7" s="37" t="n"/>
      <c r="W7" s="37" t="n"/>
      <c r="X7" s="37" t="n"/>
      <c r="Y7" s="37" t="n"/>
      <c r="Z7" s="37" t="n"/>
      <c r="AA7" s="37" t="n"/>
      <c r="AB7" s="37" t="n"/>
      <c r="AC7" s="37" t="n"/>
      <c r="AD7" s="37" t="n"/>
      <c r="AE7" s="37" t="n"/>
      <c r="AF7" s="37" t="n"/>
      <c r="AG7" s="37" t="n"/>
      <c r="AH7" s="37" t="n"/>
      <c r="AI7" s="39">
        <f>IF($B7="","",COUNTIF(D7:AH7,"P"))</f>
        <v/>
      </c>
      <c r="AJ7" s="39">
        <f>IF($B7="","",COUNTIF(D7:AH7,"R"))</f>
        <v/>
      </c>
      <c r="AK7" s="39">
        <f>IF($B7="","",COUNTIF(D7:AH7,"A"))</f>
        <v/>
      </c>
      <c r="AL7" s="39">
        <f>IF($B7="","",COUNTIF(D7:AH7,"C"))</f>
        <v/>
      </c>
      <c r="AM7" s="39">
        <f>IF($B7="","",COUNTIF(D7:AH7,"M"))</f>
        <v/>
      </c>
      <c r="AN7" s="40">
        <f>IF($B7="","",IF(AI7+AJ7+AK7+AM7=0,"",(AI7+AJ7)/(AI7+AJ7+AK7+AM7)))</f>
        <v/>
      </c>
      <c r="AO7" s="41">
        <f>IF($B7="","",IF('Employés'!D5="","",(AI7+AJ7+AL7)*'Employés'!D5))</f>
        <v/>
      </c>
    </row>
    <row r="8" ht="20" customHeight="1">
      <c r="A8" s="37">
        <f>IF('Employés'!B6="","",'Employés'!A6)</f>
        <v/>
      </c>
      <c r="B8" s="38">
        <f>IF('Employés'!B6="","",'Employés'!B6)</f>
        <v/>
      </c>
      <c r="C8" s="38">
        <f>IF('Employés'!C6="","",'Employés'!C6)</f>
        <v/>
      </c>
      <c r="D8" s="37" t="n"/>
      <c r="E8" s="37" t="n"/>
      <c r="F8" s="37" t="n"/>
      <c r="G8" s="37" t="n"/>
      <c r="H8" s="37" t="n"/>
      <c r="I8" s="37" t="n"/>
      <c r="J8" s="37" t="n"/>
      <c r="K8" s="37" t="n"/>
      <c r="L8" s="37" t="n"/>
      <c r="M8" s="37" t="n"/>
      <c r="N8" s="37" t="n"/>
      <c r="O8" s="37" t="n"/>
      <c r="P8" s="37" t="n"/>
      <c r="Q8" s="37" t="n"/>
      <c r="R8" s="37" t="n"/>
      <c r="S8" s="37" t="n"/>
      <c r="T8" s="37" t="n"/>
      <c r="U8" s="37" t="n"/>
      <c r="V8" s="37" t="n"/>
      <c r="W8" s="37" t="n"/>
      <c r="X8" s="37" t="n"/>
      <c r="Y8" s="37" t="n"/>
      <c r="Z8" s="37" t="n"/>
      <c r="AA8" s="37" t="n"/>
      <c r="AB8" s="37" t="n"/>
      <c r="AC8" s="37" t="n"/>
      <c r="AD8" s="37" t="n"/>
      <c r="AE8" s="37" t="n"/>
      <c r="AF8" s="37" t="n"/>
      <c r="AG8" s="37" t="n"/>
      <c r="AH8" s="37" t="n"/>
      <c r="AI8" s="39">
        <f>IF($B8="","",COUNTIF(D8:AH8,"P"))</f>
        <v/>
      </c>
      <c r="AJ8" s="39">
        <f>IF($B8="","",COUNTIF(D8:AH8,"R"))</f>
        <v/>
      </c>
      <c r="AK8" s="39">
        <f>IF($B8="","",COUNTIF(D8:AH8,"A"))</f>
        <v/>
      </c>
      <c r="AL8" s="39">
        <f>IF($B8="","",COUNTIF(D8:AH8,"C"))</f>
        <v/>
      </c>
      <c r="AM8" s="39">
        <f>IF($B8="","",COUNTIF(D8:AH8,"M"))</f>
        <v/>
      </c>
      <c r="AN8" s="40">
        <f>IF($B8="","",IF(AI8+AJ8+AK8+AM8=0,"",(AI8+AJ8)/(AI8+AJ8+AK8+AM8)))</f>
        <v/>
      </c>
      <c r="AO8" s="41">
        <f>IF($B8="","",IF('Employés'!D6="","",(AI8+AJ8+AL8)*'Employés'!D6))</f>
        <v/>
      </c>
    </row>
    <row r="9" ht="20" customHeight="1">
      <c r="A9" s="37">
        <f>IF('Employés'!B7="","",'Employés'!A7)</f>
        <v/>
      </c>
      <c r="B9" s="38">
        <f>IF('Employés'!B7="","",'Employés'!B7)</f>
        <v/>
      </c>
      <c r="C9" s="38">
        <f>IF('Employés'!C7="","",'Employés'!C7)</f>
        <v/>
      </c>
      <c r="D9" s="37" t="n"/>
      <c r="E9" s="37" t="n"/>
      <c r="F9" s="37" t="n"/>
      <c r="G9" s="37" t="n"/>
      <c r="H9" s="37" t="n"/>
      <c r="I9" s="37" t="n"/>
      <c r="J9" s="37" t="n"/>
      <c r="K9" s="37" t="n"/>
      <c r="L9" s="37" t="n"/>
      <c r="M9" s="37" t="n"/>
      <c r="N9" s="37" t="n"/>
      <c r="O9" s="37" t="n"/>
      <c r="P9" s="37" t="n"/>
      <c r="Q9" s="37" t="n"/>
      <c r="R9" s="37" t="n"/>
      <c r="S9" s="37" t="n"/>
      <c r="T9" s="37" t="n"/>
      <c r="U9" s="37" t="n"/>
      <c r="V9" s="37" t="n"/>
      <c r="W9" s="37" t="n"/>
      <c r="X9" s="37" t="n"/>
      <c r="Y9" s="37" t="n"/>
      <c r="Z9" s="37" t="n"/>
      <c r="AA9" s="37" t="n"/>
      <c r="AB9" s="37" t="n"/>
      <c r="AC9" s="37" t="n"/>
      <c r="AD9" s="37" t="n"/>
      <c r="AE9" s="37" t="n"/>
      <c r="AF9" s="37" t="n"/>
      <c r="AG9" s="37" t="n"/>
      <c r="AH9" s="37" t="n"/>
      <c r="AI9" s="39">
        <f>IF($B9="","",COUNTIF(D9:AH9,"P"))</f>
        <v/>
      </c>
      <c r="AJ9" s="39">
        <f>IF($B9="","",COUNTIF(D9:AH9,"R"))</f>
        <v/>
      </c>
      <c r="AK9" s="39">
        <f>IF($B9="","",COUNTIF(D9:AH9,"A"))</f>
        <v/>
      </c>
      <c r="AL9" s="39">
        <f>IF($B9="","",COUNTIF(D9:AH9,"C"))</f>
        <v/>
      </c>
      <c r="AM9" s="39">
        <f>IF($B9="","",COUNTIF(D9:AH9,"M"))</f>
        <v/>
      </c>
      <c r="AN9" s="40">
        <f>IF($B9="","",IF(AI9+AJ9+AK9+AM9=0,"",(AI9+AJ9)/(AI9+AJ9+AK9+AM9)))</f>
        <v/>
      </c>
      <c r="AO9" s="41">
        <f>IF($B9="","",IF('Employés'!D7="","",(AI9+AJ9+AL9)*'Employés'!D7))</f>
        <v/>
      </c>
    </row>
    <row r="10" ht="20" customHeight="1">
      <c r="A10" s="37">
        <f>IF('Employés'!B8="","",'Employés'!A8)</f>
        <v/>
      </c>
      <c r="B10" s="38">
        <f>IF('Employés'!B8="","",'Employés'!B8)</f>
        <v/>
      </c>
      <c r="C10" s="38">
        <f>IF('Employés'!C8="","",'Employés'!C8)</f>
        <v/>
      </c>
      <c r="D10" s="37" t="n"/>
      <c r="E10" s="37" t="n"/>
      <c r="F10" s="37" t="n"/>
      <c r="G10" s="37" t="n"/>
      <c r="H10" s="37" t="n"/>
      <c r="I10" s="37" t="n"/>
      <c r="J10" s="37" t="n"/>
      <c r="K10" s="37" t="n"/>
      <c r="L10" s="37" t="n"/>
      <c r="M10" s="37" t="n"/>
      <c r="N10" s="37" t="n"/>
      <c r="O10" s="37" t="n"/>
      <c r="P10" s="37" t="n"/>
      <c r="Q10" s="37" t="n"/>
      <c r="R10" s="37" t="n"/>
      <c r="S10" s="37" t="n"/>
      <c r="T10" s="37" t="n"/>
      <c r="U10" s="37" t="n"/>
      <c r="V10" s="37" t="n"/>
      <c r="W10" s="37" t="n"/>
      <c r="X10" s="37" t="n"/>
      <c r="Y10" s="37" t="n"/>
      <c r="Z10" s="37" t="n"/>
      <c r="AA10" s="37" t="n"/>
      <c r="AB10" s="37" t="n"/>
      <c r="AC10" s="37" t="n"/>
      <c r="AD10" s="37" t="n"/>
      <c r="AE10" s="37" t="n"/>
      <c r="AF10" s="37" t="n"/>
      <c r="AG10" s="37" t="n"/>
      <c r="AH10" s="37" t="n"/>
      <c r="AI10" s="39">
        <f>IF($B10="","",COUNTIF(D10:AH10,"P"))</f>
        <v/>
      </c>
      <c r="AJ10" s="39">
        <f>IF($B10="","",COUNTIF(D10:AH10,"R"))</f>
        <v/>
      </c>
      <c r="AK10" s="39">
        <f>IF($B10="","",COUNTIF(D10:AH10,"A"))</f>
        <v/>
      </c>
      <c r="AL10" s="39">
        <f>IF($B10="","",COUNTIF(D10:AH10,"C"))</f>
        <v/>
      </c>
      <c r="AM10" s="39">
        <f>IF($B10="","",COUNTIF(D10:AH10,"M"))</f>
        <v/>
      </c>
      <c r="AN10" s="40">
        <f>IF($B10="","",IF(AI10+AJ10+AK10+AM10=0,"",(AI10+AJ10)/(AI10+AJ10+AK10+AM10)))</f>
        <v/>
      </c>
      <c r="AO10" s="41">
        <f>IF($B10="","",IF('Employés'!D8="","",(AI10+AJ10+AL10)*'Employés'!D8))</f>
        <v/>
      </c>
    </row>
    <row r="11" ht="20" customHeight="1">
      <c r="A11" s="37">
        <f>IF('Employés'!B9="","",'Employés'!A9)</f>
        <v/>
      </c>
      <c r="B11" s="38">
        <f>IF('Employés'!B9="","",'Employés'!B9)</f>
        <v/>
      </c>
      <c r="C11" s="38">
        <f>IF('Employés'!C9="","",'Employés'!C9)</f>
        <v/>
      </c>
      <c r="D11" s="37" t="n"/>
      <c r="E11" s="37" t="n"/>
      <c r="F11" s="37" t="n"/>
      <c r="G11" s="37" t="n"/>
      <c r="H11" s="37" t="n"/>
      <c r="I11" s="37" t="n"/>
      <c r="J11" s="37" t="n"/>
      <c r="K11" s="37" t="n"/>
      <c r="L11" s="37" t="n"/>
      <c r="M11" s="37" t="n"/>
      <c r="N11" s="37" t="n"/>
      <c r="O11" s="37" t="n"/>
      <c r="P11" s="37" t="n"/>
      <c r="Q11" s="37" t="n"/>
      <c r="R11" s="37" t="n"/>
      <c r="S11" s="37" t="n"/>
      <c r="T11" s="37" t="n"/>
      <c r="U11" s="37" t="n"/>
      <c r="V11" s="37" t="n"/>
      <c r="W11" s="37" t="n"/>
      <c r="X11" s="37" t="n"/>
      <c r="Y11" s="37" t="n"/>
      <c r="Z11" s="37" t="n"/>
      <c r="AA11" s="37" t="n"/>
      <c r="AB11" s="37" t="n"/>
      <c r="AC11" s="37" t="n"/>
      <c r="AD11" s="37" t="n"/>
      <c r="AE11" s="37" t="n"/>
      <c r="AF11" s="37" t="n"/>
      <c r="AG11" s="37" t="n"/>
      <c r="AH11" s="37" t="n"/>
      <c r="AI11" s="39">
        <f>IF($B11="","",COUNTIF(D11:AH11,"P"))</f>
        <v/>
      </c>
      <c r="AJ11" s="39">
        <f>IF($B11="","",COUNTIF(D11:AH11,"R"))</f>
        <v/>
      </c>
      <c r="AK11" s="39">
        <f>IF($B11="","",COUNTIF(D11:AH11,"A"))</f>
        <v/>
      </c>
      <c r="AL11" s="39">
        <f>IF($B11="","",COUNTIF(D11:AH11,"C"))</f>
        <v/>
      </c>
      <c r="AM11" s="39">
        <f>IF($B11="","",COUNTIF(D11:AH11,"M"))</f>
        <v/>
      </c>
      <c r="AN11" s="40">
        <f>IF($B11="","",IF(AI11+AJ11+AK11+AM11=0,"",(AI11+AJ11)/(AI11+AJ11+AK11+AM11)))</f>
        <v/>
      </c>
      <c r="AO11" s="41">
        <f>IF($B11="","",IF('Employés'!D9="","",(AI11+AJ11+AL11)*'Employés'!D9))</f>
        <v/>
      </c>
    </row>
    <row r="12" ht="20" customHeight="1">
      <c r="A12" s="37">
        <f>IF('Employés'!B10="","",'Employés'!A10)</f>
        <v/>
      </c>
      <c r="B12" s="38">
        <f>IF('Employés'!B10="","",'Employés'!B10)</f>
        <v/>
      </c>
      <c r="C12" s="38">
        <f>IF('Employés'!C10="","",'Employés'!C10)</f>
        <v/>
      </c>
      <c r="D12" s="37" t="n"/>
      <c r="E12" s="37" t="n"/>
      <c r="F12" s="37" t="n"/>
      <c r="G12" s="37" t="n"/>
      <c r="H12" s="37" t="n"/>
      <c r="I12" s="37" t="n"/>
      <c r="J12" s="37" t="n"/>
      <c r="K12" s="37" t="n"/>
      <c r="L12" s="37" t="n"/>
      <c r="M12" s="37" t="n"/>
      <c r="N12" s="37" t="n"/>
      <c r="O12" s="37" t="n"/>
      <c r="P12" s="37" t="n"/>
      <c r="Q12" s="37" t="n"/>
      <c r="R12" s="37" t="n"/>
      <c r="S12" s="37" t="n"/>
      <c r="T12" s="37" t="n"/>
      <c r="U12" s="37" t="n"/>
      <c r="V12" s="37" t="n"/>
      <c r="W12" s="37" t="n"/>
      <c r="X12" s="37" t="n"/>
      <c r="Y12" s="37" t="n"/>
      <c r="Z12" s="37" t="n"/>
      <c r="AA12" s="37" t="n"/>
      <c r="AB12" s="37" t="n"/>
      <c r="AC12" s="37" t="n"/>
      <c r="AD12" s="37" t="n"/>
      <c r="AE12" s="37" t="n"/>
      <c r="AF12" s="37" t="n"/>
      <c r="AG12" s="37" t="n"/>
      <c r="AH12" s="37" t="n"/>
      <c r="AI12" s="39">
        <f>IF($B12="","",COUNTIF(D12:AH12,"P"))</f>
        <v/>
      </c>
      <c r="AJ12" s="39">
        <f>IF($B12="","",COUNTIF(D12:AH12,"R"))</f>
        <v/>
      </c>
      <c r="AK12" s="39">
        <f>IF($B12="","",COUNTIF(D12:AH12,"A"))</f>
        <v/>
      </c>
      <c r="AL12" s="39">
        <f>IF($B12="","",COUNTIF(D12:AH12,"C"))</f>
        <v/>
      </c>
      <c r="AM12" s="39">
        <f>IF($B12="","",COUNTIF(D12:AH12,"M"))</f>
        <v/>
      </c>
      <c r="AN12" s="40">
        <f>IF($B12="","",IF(AI12+AJ12+AK12+AM12=0,"",(AI12+AJ12)/(AI12+AJ12+AK12+AM12)))</f>
        <v/>
      </c>
      <c r="AO12" s="41">
        <f>IF($B12="","",IF('Employés'!D10="","",(AI12+AJ12+AL12)*'Employés'!D10))</f>
        <v/>
      </c>
    </row>
    <row r="13" ht="20" customHeight="1">
      <c r="A13" s="37">
        <f>IF('Employés'!B11="","",'Employés'!A11)</f>
        <v/>
      </c>
      <c r="B13" s="38">
        <f>IF('Employés'!B11="","",'Employés'!B11)</f>
        <v/>
      </c>
      <c r="C13" s="38">
        <f>IF('Employés'!C11="","",'Employés'!C11)</f>
        <v/>
      </c>
      <c r="D13" s="37" t="n"/>
      <c r="E13" s="37" t="n"/>
      <c r="F13" s="37" t="n"/>
      <c r="G13" s="37" t="n"/>
      <c r="H13" s="37" t="n"/>
      <c r="I13" s="37" t="n"/>
      <c r="J13" s="37" t="n"/>
      <c r="K13" s="37" t="n"/>
      <c r="L13" s="37" t="n"/>
      <c r="M13" s="37" t="n"/>
      <c r="N13" s="37" t="n"/>
      <c r="O13" s="37" t="n"/>
      <c r="P13" s="37" t="n"/>
      <c r="Q13" s="37" t="n"/>
      <c r="R13" s="37" t="n"/>
      <c r="S13" s="37" t="n"/>
      <c r="T13" s="37" t="n"/>
      <c r="U13" s="37" t="n"/>
      <c r="V13" s="37" t="n"/>
      <c r="W13" s="37" t="n"/>
      <c r="X13" s="37" t="n"/>
      <c r="Y13" s="37" t="n"/>
      <c r="Z13" s="37" t="n"/>
      <c r="AA13" s="37" t="n"/>
      <c r="AB13" s="37" t="n"/>
      <c r="AC13" s="37" t="n"/>
      <c r="AD13" s="37" t="n"/>
      <c r="AE13" s="37" t="n"/>
      <c r="AF13" s="37" t="n"/>
      <c r="AG13" s="37" t="n"/>
      <c r="AH13" s="37" t="n"/>
      <c r="AI13" s="39">
        <f>IF($B13="","",COUNTIF(D13:AH13,"P"))</f>
        <v/>
      </c>
      <c r="AJ13" s="39">
        <f>IF($B13="","",COUNTIF(D13:AH13,"R"))</f>
        <v/>
      </c>
      <c r="AK13" s="39">
        <f>IF($B13="","",COUNTIF(D13:AH13,"A"))</f>
        <v/>
      </c>
      <c r="AL13" s="39">
        <f>IF($B13="","",COUNTIF(D13:AH13,"C"))</f>
        <v/>
      </c>
      <c r="AM13" s="39">
        <f>IF($B13="","",COUNTIF(D13:AH13,"M"))</f>
        <v/>
      </c>
      <c r="AN13" s="40">
        <f>IF($B13="","",IF(AI13+AJ13+AK13+AM13=0,"",(AI13+AJ13)/(AI13+AJ13+AK13+AM13)))</f>
        <v/>
      </c>
      <c r="AO13" s="41">
        <f>IF($B13="","",IF('Employés'!D11="","",(AI13+AJ13+AL13)*'Employés'!D11))</f>
        <v/>
      </c>
    </row>
    <row r="14" ht="20" customHeight="1">
      <c r="A14" s="37">
        <f>IF('Employés'!B12="","",'Employés'!A12)</f>
        <v/>
      </c>
      <c r="B14" s="38">
        <f>IF('Employés'!B12="","",'Employés'!B12)</f>
        <v/>
      </c>
      <c r="C14" s="38">
        <f>IF('Employés'!C12="","",'Employés'!C12)</f>
        <v/>
      </c>
      <c r="D14" s="37" t="n"/>
      <c r="E14" s="37" t="n"/>
      <c r="F14" s="37" t="n"/>
      <c r="G14" s="37" t="n"/>
      <c r="H14" s="37" t="n"/>
      <c r="I14" s="37" t="n"/>
      <c r="J14" s="37" t="n"/>
      <c r="K14" s="37" t="n"/>
      <c r="L14" s="37" t="n"/>
      <c r="M14" s="37" t="n"/>
      <c r="N14" s="37" t="n"/>
      <c r="O14" s="37" t="n"/>
      <c r="P14" s="37" t="n"/>
      <c r="Q14" s="37" t="n"/>
      <c r="R14" s="37" t="n"/>
      <c r="S14" s="37" t="n"/>
      <c r="T14" s="37" t="n"/>
      <c r="U14" s="37" t="n"/>
      <c r="V14" s="37" t="n"/>
      <c r="W14" s="37" t="n"/>
      <c r="X14" s="37" t="n"/>
      <c r="Y14" s="37" t="n"/>
      <c r="Z14" s="37" t="n"/>
      <c r="AA14" s="37" t="n"/>
      <c r="AB14" s="37" t="n"/>
      <c r="AC14" s="37" t="n"/>
      <c r="AD14" s="37" t="n"/>
      <c r="AE14" s="37" t="n"/>
      <c r="AF14" s="37" t="n"/>
      <c r="AG14" s="37" t="n"/>
      <c r="AH14" s="37" t="n"/>
      <c r="AI14" s="39">
        <f>IF($B14="","",COUNTIF(D14:AH14,"P"))</f>
        <v/>
      </c>
      <c r="AJ14" s="39">
        <f>IF($B14="","",COUNTIF(D14:AH14,"R"))</f>
        <v/>
      </c>
      <c r="AK14" s="39">
        <f>IF($B14="","",COUNTIF(D14:AH14,"A"))</f>
        <v/>
      </c>
      <c r="AL14" s="39">
        <f>IF($B14="","",COUNTIF(D14:AH14,"C"))</f>
        <v/>
      </c>
      <c r="AM14" s="39">
        <f>IF($B14="","",COUNTIF(D14:AH14,"M"))</f>
        <v/>
      </c>
      <c r="AN14" s="40">
        <f>IF($B14="","",IF(AI14+AJ14+AK14+AM14=0,"",(AI14+AJ14)/(AI14+AJ14+AK14+AM14)))</f>
        <v/>
      </c>
      <c r="AO14" s="41">
        <f>IF($B14="","",IF('Employés'!D12="","",(AI14+AJ14+AL14)*'Employés'!D12))</f>
        <v/>
      </c>
    </row>
    <row r="15" ht="20" customHeight="1">
      <c r="A15" s="37">
        <f>IF('Employés'!B13="","",'Employés'!A13)</f>
        <v/>
      </c>
      <c r="B15" s="38">
        <f>IF('Employés'!B13="","",'Employés'!B13)</f>
        <v/>
      </c>
      <c r="C15" s="38">
        <f>IF('Employés'!C13="","",'Employés'!C13)</f>
        <v/>
      </c>
      <c r="D15" s="37" t="n"/>
      <c r="E15" s="37" t="n"/>
      <c r="F15" s="37" t="n"/>
      <c r="G15" s="37" t="n"/>
      <c r="H15" s="37" t="n"/>
      <c r="I15" s="37" t="n"/>
      <c r="J15" s="37" t="n"/>
      <c r="K15" s="37" t="n"/>
      <c r="L15" s="37" t="n"/>
      <c r="M15" s="37" t="n"/>
      <c r="N15" s="37" t="n"/>
      <c r="O15" s="37" t="n"/>
      <c r="P15" s="37" t="n"/>
      <c r="Q15" s="37" t="n"/>
      <c r="R15" s="37" t="n"/>
      <c r="S15" s="37" t="n"/>
      <c r="T15" s="37" t="n"/>
      <c r="U15" s="37" t="n"/>
      <c r="V15" s="37" t="n"/>
      <c r="W15" s="37" t="n"/>
      <c r="X15" s="37" t="n"/>
      <c r="Y15" s="37" t="n"/>
      <c r="Z15" s="37" t="n"/>
      <c r="AA15" s="37" t="n"/>
      <c r="AB15" s="37" t="n"/>
      <c r="AC15" s="37" t="n"/>
      <c r="AD15" s="37" t="n"/>
      <c r="AE15" s="37" t="n"/>
      <c r="AF15" s="37" t="n"/>
      <c r="AG15" s="37" t="n"/>
      <c r="AH15" s="37" t="n"/>
      <c r="AI15" s="39">
        <f>IF($B15="","",COUNTIF(D15:AH15,"P"))</f>
        <v/>
      </c>
      <c r="AJ15" s="39">
        <f>IF($B15="","",COUNTIF(D15:AH15,"R"))</f>
        <v/>
      </c>
      <c r="AK15" s="39">
        <f>IF($B15="","",COUNTIF(D15:AH15,"A"))</f>
        <v/>
      </c>
      <c r="AL15" s="39">
        <f>IF($B15="","",COUNTIF(D15:AH15,"C"))</f>
        <v/>
      </c>
      <c r="AM15" s="39">
        <f>IF($B15="","",COUNTIF(D15:AH15,"M"))</f>
        <v/>
      </c>
      <c r="AN15" s="40">
        <f>IF($B15="","",IF(AI15+AJ15+AK15+AM15=0,"",(AI15+AJ15)/(AI15+AJ15+AK15+AM15)))</f>
        <v/>
      </c>
      <c r="AO15" s="41">
        <f>IF($B15="","",IF('Employés'!D13="","",(AI15+AJ15+AL15)*'Employés'!D13))</f>
        <v/>
      </c>
    </row>
    <row r="16" ht="20" customHeight="1">
      <c r="A16" s="37">
        <f>IF('Employés'!B14="","",'Employés'!A14)</f>
        <v/>
      </c>
      <c r="B16" s="38">
        <f>IF('Employés'!B14="","",'Employés'!B14)</f>
        <v/>
      </c>
      <c r="C16" s="38">
        <f>IF('Employés'!C14="","",'Employés'!C14)</f>
        <v/>
      </c>
      <c r="D16" s="37" t="n"/>
      <c r="E16" s="37" t="n"/>
      <c r="F16" s="37" t="n"/>
      <c r="G16" s="37" t="n"/>
      <c r="H16" s="37" t="n"/>
      <c r="I16" s="37" t="n"/>
      <c r="J16" s="37" t="n"/>
      <c r="K16" s="37" t="n"/>
      <c r="L16" s="37" t="n"/>
      <c r="M16" s="37" t="n"/>
      <c r="N16" s="37" t="n"/>
      <c r="O16" s="37" t="n"/>
      <c r="P16" s="37" t="n"/>
      <c r="Q16" s="37" t="n"/>
      <c r="R16" s="37" t="n"/>
      <c r="S16" s="37" t="n"/>
      <c r="T16" s="37" t="n"/>
      <c r="U16" s="37" t="n"/>
      <c r="V16" s="37" t="n"/>
      <c r="W16" s="37" t="n"/>
      <c r="X16" s="37" t="n"/>
      <c r="Y16" s="37" t="n"/>
      <c r="Z16" s="37" t="n"/>
      <c r="AA16" s="37" t="n"/>
      <c r="AB16" s="37" t="n"/>
      <c r="AC16" s="37" t="n"/>
      <c r="AD16" s="37" t="n"/>
      <c r="AE16" s="37" t="n"/>
      <c r="AF16" s="37" t="n"/>
      <c r="AG16" s="37" t="n"/>
      <c r="AH16" s="37" t="n"/>
      <c r="AI16" s="39">
        <f>IF($B16="","",COUNTIF(D16:AH16,"P"))</f>
        <v/>
      </c>
      <c r="AJ16" s="39">
        <f>IF($B16="","",COUNTIF(D16:AH16,"R"))</f>
        <v/>
      </c>
      <c r="AK16" s="39">
        <f>IF($B16="","",COUNTIF(D16:AH16,"A"))</f>
        <v/>
      </c>
      <c r="AL16" s="39">
        <f>IF($B16="","",COUNTIF(D16:AH16,"C"))</f>
        <v/>
      </c>
      <c r="AM16" s="39">
        <f>IF($B16="","",COUNTIF(D16:AH16,"M"))</f>
        <v/>
      </c>
      <c r="AN16" s="40">
        <f>IF($B16="","",IF(AI16+AJ16+AK16+AM16=0,"",(AI16+AJ16)/(AI16+AJ16+AK16+AM16)))</f>
        <v/>
      </c>
      <c r="AO16" s="41">
        <f>IF($B16="","",IF('Employés'!D14="","",(AI16+AJ16+AL16)*'Employés'!D14))</f>
        <v/>
      </c>
    </row>
    <row r="17" ht="20" customHeight="1">
      <c r="A17" s="37">
        <f>IF('Employés'!B15="","",'Employés'!A15)</f>
        <v/>
      </c>
      <c r="B17" s="38">
        <f>IF('Employés'!B15="","",'Employés'!B15)</f>
        <v/>
      </c>
      <c r="C17" s="38">
        <f>IF('Employés'!C15="","",'Employés'!C15)</f>
        <v/>
      </c>
      <c r="D17" s="37" t="n"/>
      <c r="E17" s="37" t="n"/>
      <c r="F17" s="37" t="n"/>
      <c r="G17" s="37" t="n"/>
      <c r="H17" s="37" t="n"/>
      <c r="I17" s="37" t="n"/>
      <c r="J17" s="37" t="n"/>
      <c r="K17" s="37" t="n"/>
      <c r="L17" s="37" t="n"/>
      <c r="M17" s="37" t="n"/>
      <c r="N17" s="37" t="n"/>
      <c r="O17" s="37" t="n"/>
      <c r="P17" s="37" t="n"/>
      <c r="Q17" s="37" t="n"/>
      <c r="R17" s="37" t="n"/>
      <c r="S17" s="37" t="n"/>
      <c r="T17" s="37" t="n"/>
      <c r="U17" s="37" t="n"/>
      <c r="V17" s="37" t="n"/>
      <c r="W17" s="37" t="n"/>
      <c r="X17" s="37" t="n"/>
      <c r="Y17" s="37" t="n"/>
      <c r="Z17" s="37" t="n"/>
      <c r="AA17" s="37" t="n"/>
      <c r="AB17" s="37" t="n"/>
      <c r="AC17" s="37" t="n"/>
      <c r="AD17" s="37" t="n"/>
      <c r="AE17" s="37" t="n"/>
      <c r="AF17" s="37" t="n"/>
      <c r="AG17" s="37" t="n"/>
      <c r="AH17" s="37" t="n"/>
      <c r="AI17" s="39">
        <f>IF($B17="","",COUNTIF(D17:AH17,"P"))</f>
        <v/>
      </c>
      <c r="AJ17" s="39">
        <f>IF($B17="","",COUNTIF(D17:AH17,"R"))</f>
        <v/>
      </c>
      <c r="AK17" s="39">
        <f>IF($B17="","",COUNTIF(D17:AH17,"A"))</f>
        <v/>
      </c>
      <c r="AL17" s="39">
        <f>IF($B17="","",COUNTIF(D17:AH17,"C"))</f>
        <v/>
      </c>
      <c r="AM17" s="39">
        <f>IF($B17="","",COUNTIF(D17:AH17,"M"))</f>
        <v/>
      </c>
      <c r="AN17" s="40">
        <f>IF($B17="","",IF(AI17+AJ17+AK17+AM17=0,"",(AI17+AJ17)/(AI17+AJ17+AK17+AM17)))</f>
        <v/>
      </c>
      <c r="AO17" s="41">
        <f>IF($B17="","",IF('Employés'!D15="","",(AI17+AJ17+AL17)*'Employés'!D15))</f>
        <v/>
      </c>
    </row>
    <row r="18" ht="20" customHeight="1">
      <c r="A18" s="37">
        <f>IF('Employés'!B16="","",'Employés'!A16)</f>
        <v/>
      </c>
      <c r="B18" s="38">
        <f>IF('Employés'!B16="","",'Employés'!B16)</f>
        <v/>
      </c>
      <c r="C18" s="38">
        <f>IF('Employés'!C16="","",'Employés'!C16)</f>
        <v/>
      </c>
      <c r="D18" s="37" t="n"/>
      <c r="E18" s="37" t="n"/>
      <c r="F18" s="37" t="n"/>
      <c r="G18" s="37" t="n"/>
      <c r="H18" s="37" t="n"/>
      <c r="I18" s="37" t="n"/>
      <c r="J18" s="37" t="n"/>
      <c r="K18" s="37" t="n"/>
      <c r="L18" s="37" t="n"/>
      <c r="M18" s="37" t="n"/>
      <c r="N18" s="37" t="n"/>
      <c r="O18" s="37" t="n"/>
      <c r="P18" s="37" t="n"/>
      <c r="Q18" s="37" t="n"/>
      <c r="R18" s="37" t="n"/>
      <c r="S18" s="37" t="n"/>
      <c r="T18" s="37" t="n"/>
      <c r="U18" s="37" t="n"/>
      <c r="V18" s="37" t="n"/>
      <c r="W18" s="37" t="n"/>
      <c r="X18" s="37" t="n"/>
      <c r="Y18" s="37" t="n"/>
      <c r="Z18" s="37" t="n"/>
      <c r="AA18" s="37" t="n"/>
      <c r="AB18" s="37" t="n"/>
      <c r="AC18" s="37" t="n"/>
      <c r="AD18" s="37" t="n"/>
      <c r="AE18" s="37" t="n"/>
      <c r="AF18" s="37" t="n"/>
      <c r="AG18" s="37" t="n"/>
      <c r="AH18" s="37" t="n"/>
      <c r="AI18" s="39">
        <f>IF($B18="","",COUNTIF(D18:AH18,"P"))</f>
        <v/>
      </c>
      <c r="AJ18" s="39">
        <f>IF($B18="","",COUNTIF(D18:AH18,"R"))</f>
        <v/>
      </c>
      <c r="AK18" s="39">
        <f>IF($B18="","",COUNTIF(D18:AH18,"A"))</f>
        <v/>
      </c>
      <c r="AL18" s="39">
        <f>IF($B18="","",COUNTIF(D18:AH18,"C"))</f>
        <v/>
      </c>
      <c r="AM18" s="39">
        <f>IF($B18="","",COUNTIF(D18:AH18,"M"))</f>
        <v/>
      </c>
      <c r="AN18" s="40">
        <f>IF($B18="","",IF(AI18+AJ18+AK18+AM18=0,"",(AI18+AJ18)/(AI18+AJ18+AK18+AM18)))</f>
        <v/>
      </c>
      <c r="AO18" s="41">
        <f>IF($B18="","",IF('Employés'!D16="","",(AI18+AJ18+AL18)*'Employés'!D16))</f>
        <v/>
      </c>
    </row>
    <row r="19" ht="20" customHeight="1">
      <c r="A19" s="37">
        <f>IF('Employés'!B17="","",'Employés'!A17)</f>
        <v/>
      </c>
      <c r="B19" s="38">
        <f>IF('Employés'!B17="","",'Employés'!B17)</f>
        <v/>
      </c>
      <c r="C19" s="38">
        <f>IF('Employés'!C17="","",'Employés'!C17)</f>
        <v/>
      </c>
      <c r="D19" s="37" t="n"/>
      <c r="E19" s="37" t="n"/>
      <c r="F19" s="37" t="n"/>
      <c r="G19" s="37" t="n"/>
      <c r="H19" s="37" t="n"/>
      <c r="I19" s="37" t="n"/>
      <c r="J19" s="37" t="n"/>
      <c r="K19" s="37" t="n"/>
      <c r="L19" s="37" t="n"/>
      <c r="M19" s="37" t="n"/>
      <c r="N19" s="37" t="n"/>
      <c r="O19" s="37" t="n"/>
      <c r="P19" s="37" t="n"/>
      <c r="Q19" s="37" t="n"/>
      <c r="R19" s="37" t="n"/>
      <c r="S19" s="37" t="n"/>
      <c r="T19" s="37" t="n"/>
      <c r="U19" s="37" t="n"/>
      <c r="V19" s="37" t="n"/>
      <c r="W19" s="37" t="n"/>
      <c r="X19" s="37" t="n"/>
      <c r="Y19" s="37" t="n"/>
      <c r="Z19" s="37" t="n"/>
      <c r="AA19" s="37" t="n"/>
      <c r="AB19" s="37" t="n"/>
      <c r="AC19" s="37" t="n"/>
      <c r="AD19" s="37" t="n"/>
      <c r="AE19" s="37" t="n"/>
      <c r="AF19" s="37" t="n"/>
      <c r="AG19" s="37" t="n"/>
      <c r="AH19" s="37" t="n"/>
      <c r="AI19" s="39">
        <f>IF($B19="","",COUNTIF(D19:AH19,"P"))</f>
        <v/>
      </c>
      <c r="AJ19" s="39">
        <f>IF($B19="","",COUNTIF(D19:AH19,"R"))</f>
        <v/>
      </c>
      <c r="AK19" s="39">
        <f>IF($B19="","",COUNTIF(D19:AH19,"A"))</f>
        <v/>
      </c>
      <c r="AL19" s="39">
        <f>IF($B19="","",COUNTIF(D19:AH19,"C"))</f>
        <v/>
      </c>
      <c r="AM19" s="39">
        <f>IF($B19="","",COUNTIF(D19:AH19,"M"))</f>
        <v/>
      </c>
      <c r="AN19" s="40">
        <f>IF($B19="","",IF(AI19+AJ19+AK19+AM19=0,"",(AI19+AJ19)/(AI19+AJ19+AK19+AM19)))</f>
        <v/>
      </c>
      <c r="AO19" s="41">
        <f>IF($B19="","",IF('Employés'!D17="","",(AI19+AJ19+AL19)*'Employés'!D17))</f>
        <v/>
      </c>
    </row>
    <row r="20" ht="20" customHeight="1">
      <c r="A20" s="37">
        <f>IF('Employés'!B18="","",'Employés'!A18)</f>
        <v/>
      </c>
      <c r="B20" s="38">
        <f>IF('Employés'!B18="","",'Employés'!B18)</f>
        <v/>
      </c>
      <c r="C20" s="38">
        <f>IF('Employés'!C18="","",'Employés'!C18)</f>
        <v/>
      </c>
      <c r="D20" s="37" t="n"/>
      <c r="E20" s="37" t="n"/>
      <c r="F20" s="37" t="n"/>
      <c r="G20" s="37" t="n"/>
      <c r="H20" s="37" t="n"/>
      <c r="I20" s="37" t="n"/>
      <c r="J20" s="37" t="n"/>
      <c r="K20" s="37" t="n"/>
      <c r="L20" s="37" t="n"/>
      <c r="M20" s="37" t="n"/>
      <c r="N20" s="37" t="n"/>
      <c r="O20" s="37" t="n"/>
      <c r="P20" s="37" t="n"/>
      <c r="Q20" s="37" t="n"/>
      <c r="R20" s="37" t="n"/>
      <c r="S20" s="37" t="n"/>
      <c r="T20" s="37" t="n"/>
      <c r="U20" s="37" t="n"/>
      <c r="V20" s="37" t="n"/>
      <c r="W20" s="37" t="n"/>
      <c r="X20" s="37" t="n"/>
      <c r="Y20" s="37" t="n"/>
      <c r="Z20" s="37" t="n"/>
      <c r="AA20" s="37" t="n"/>
      <c r="AB20" s="37" t="n"/>
      <c r="AC20" s="37" t="n"/>
      <c r="AD20" s="37" t="n"/>
      <c r="AE20" s="37" t="n"/>
      <c r="AF20" s="37" t="n"/>
      <c r="AG20" s="37" t="n"/>
      <c r="AH20" s="37" t="n"/>
      <c r="AI20" s="39">
        <f>IF($B20="","",COUNTIF(D20:AH20,"P"))</f>
        <v/>
      </c>
      <c r="AJ20" s="39">
        <f>IF($B20="","",COUNTIF(D20:AH20,"R"))</f>
        <v/>
      </c>
      <c r="AK20" s="39">
        <f>IF($B20="","",COUNTIF(D20:AH20,"A"))</f>
        <v/>
      </c>
      <c r="AL20" s="39">
        <f>IF($B20="","",COUNTIF(D20:AH20,"C"))</f>
        <v/>
      </c>
      <c r="AM20" s="39">
        <f>IF($B20="","",COUNTIF(D20:AH20,"M"))</f>
        <v/>
      </c>
      <c r="AN20" s="40">
        <f>IF($B20="","",IF(AI20+AJ20+AK20+AM20=0,"",(AI20+AJ20)/(AI20+AJ20+AK20+AM20)))</f>
        <v/>
      </c>
      <c r="AO20" s="41">
        <f>IF($B20="","",IF('Employés'!D18="","",(AI20+AJ20+AL20)*'Employés'!D18))</f>
        <v/>
      </c>
    </row>
    <row r="21" ht="20" customHeight="1">
      <c r="A21" s="37">
        <f>IF('Employés'!B19="","",'Employés'!A19)</f>
        <v/>
      </c>
      <c r="B21" s="38">
        <f>IF('Employés'!B19="","",'Employés'!B19)</f>
        <v/>
      </c>
      <c r="C21" s="38">
        <f>IF('Employés'!C19="","",'Employés'!C19)</f>
        <v/>
      </c>
      <c r="D21" s="37" t="n"/>
      <c r="E21" s="37" t="n"/>
      <c r="F21" s="37" t="n"/>
      <c r="G21" s="37" t="n"/>
      <c r="H21" s="37" t="n"/>
      <c r="I21" s="37" t="n"/>
      <c r="J21" s="37" t="n"/>
      <c r="K21" s="37" t="n"/>
      <c r="L21" s="37" t="n"/>
      <c r="M21" s="37" t="n"/>
      <c r="N21" s="37" t="n"/>
      <c r="O21" s="37" t="n"/>
      <c r="P21" s="37" t="n"/>
      <c r="Q21" s="37" t="n"/>
      <c r="R21" s="37" t="n"/>
      <c r="S21" s="37" t="n"/>
      <c r="T21" s="37" t="n"/>
      <c r="U21" s="37" t="n"/>
      <c r="V21" s="37" t="n"/>
      <c r="W21" s="37" t="n"/>
      <c r="X21" s="37" t="n"/>
      <c r="Y21" s="37" t="n"/>
      <c r="Z21" s="37" t="n"/>
      <c r="AA21" s="37" t="n"/>
      <c r="AB21" s="37" t="n"/>
      <c r="AC21" s="37" t="n"/>
      <c r="AD21" s="37" t="n"/>
      <c r="AE21" s="37" t="n"/>
      <c r="AF21" s="37" t="n"/>
      <c r="AG21" s="37" t="n"/>
      <c r="AH21" s="37" t="n"/>
      <c r="AI21" s="39">
        <f>IF($B21="","",COUNTIF(D21:AH21,"P"))</f>
        <v/>
      </c>
      <c r="AJ21" s="39">
        <f>IF($B21="","",COUNTIF(D21:AH21,"R"))</f>
        <v/>
      </c>
      <c r="AK21" s="39">
        <f>IF($B21="","",COUNTIF(D21:AH21,"A"))</f>
        <v/>
      </c>
      <c r="AL21" s="39">
        <f>IF($B21="","",COUNTIF(D21:AH21,"C"))</f>
        <v/>
      </c>
      <c r="AM21" s="39">
        <f>IF($B21="","",COUNTIF(D21:AH21,"M"))</f>
        <v/>
      </c>
      <c r="AN21" s="40">
        <f>IF($B21="","",IF(AI21+AJ21+AK21+AM21=0,"",(AI21+AJ21)/(AI21+AJ21+AK21+AM21)))</f>
        <v/>
      </c>
      <c r="AO21" s="41">
        <f>IF($B21="","",IF('Employés'!D19="","",(AI21+AJ21+AL21)*'Employés'!D19))</f>
        <v/>
      </c>
    </row>
    <row r="22" ht="20" customHeight="1">
      <c r="A22" s="37">
        <f>IF('Employés'!B20="","",'Employés'!A20)</f>
        <v/>
      </c>
      <c r="B22" s="38">
        <f>IF('Employés'!B20="","",'Employés'!B20)</f>
        <v/>
      </c>
      <c r="C22" s="38">
        <f>IF('Employés'!C20="","",'Employés'!C20)</f>
        <v/>
      </c>
      <c r="D22" s="37" t="n"/>
      <c r="E22" s="37" t="n"/>
      <c r="F22" s="37" t="n"/>
      <c r="G22" s="37" t="n"/>
      <c r="H22" s="37" t="n"/>
      <c r="I22" s="37" t="n"/>
      <c r="J22" s="37" t="n"/>
      <c r="K22" s="37" t="n"/>
      <c r="L22" s="37" t="n"/>
      <c r="M22" s="37" t="n"/>
      <c r="N22" s="37" t="n"/>
      <c r="O22" s="37" t="n"/>
      <c r="P22" s="37" t="n"/>
      <c r="Q22" s="37" t="n"/>
      <c r="R22" s="37" t="n"/>
      <c r="S22" s="37" t="n"/>
      <c r="T22" s="37" t="n"/>
      <c r="U22" s="37" t="n"/>
      <c r="V22" s="37" t="n"/>
      <c r="W22" s="37" t="n"/>
      <c r="X22" s="37" t="n"/>
      <c r="Y22" s="37" t="n"/>
      <c r="Z22" s="37" t="n"/>
      <c r="AA22" s="37" t="n"/>
      <c r="AB22" s="37" t="n"/>
      <c r="AC22" s="37" t="n"/>
      <c r="AD22" s="37" t="n"/>
      <c r="AE22" s="37" t="n"/>
      <c r="AF22" s="37" t="n"/>
      <c r="AG22" s="37" t="n"/>
      <c r="AH22" s="37" t="n"/>
      <c r="AI22" s="39">
        <f>IF($B22="","",COUNTIF(D22:AH22,"P"))</f>
        <v/>
      </c>
      <c r="AJ22" s="39">
        <f>IF($B22="","",COUNTIF(D22:AH22,"R"))</f>
        <v/>
      </c>
      <c r="AK22" s="39">
        <f>IF($B22="","",COUNTIF(D22:AH22,"A"))</f>
        <v/>
      </c>
      <c r="AL22" s="39">
        <f>IF($B22="","",COUNTIF(D22:AH22,"C"))</f>
        <v/>
      </c>
      <c r="AM22" s="39">
        <f>IF($B22="","",COUNTIF(D22:AH22,"M"))</f>
        <v/>
      </c>
      <c r="AN22" s="40">
        <f>IF($B22="","",IF(AI22+AJ22+AK22+AM22=0,"",(AI22+AJ22)/(AI22+AJ22+AK22+AM22)))</f>
        <v/>
      </c>
      <c r="AO22" s="41">
        <f>IF($B22="","",IF('Employés'!D20="","",(AI22+AJ22+AL22)*'Employés'!D20))</f>
        <v/>
      </c>
    </row>
    <row r="23" ht="20" customHeight="1">
      <c r="A23" s="37">
        <f>IF('Employés'!B21="","",'Employés'!A21)</f>
        <v/>
      </c>
      <c r="B23" s="38">
        <f>IF('Employés'!B21="","",'Employés'!B21)</f>
        <v/>
      </c>
      <c r="C23" s="38">
        <f>IF('Employés'!C21="","",'Employés'!C21)</f>
        <v/>
      </c>
      <c r="D23" s="37" t="n"/>
      <c r="E23" s="37" t="n"/>
      <c r="F23" s="37" t="n"/>
      <c r="G23" s="37" t="n"/>
      <c r="H23" s="37" t="n"/>
      <c r="I23" s="37" t="n"/>
      <c r="J23" s="37" t="n"/>
      <c r="K23" s="37" t="n"/>
      <c r="L23" s="37" t="n"/>
      <c r="M23" s="37" t="n"/>
      <c r="N23" s="37" t="n"/>
      <c r="O23" s="37" t="n"/>
      <c r="P23" s="37" t="n"/>
      <c r="Q23" s="37" t="n"/>
      <c r="R23" s="37" t="n"/>
      <c r="S23" s="37" t="n"/>
      <c r="T23" s="37" t="n"/>
      <c r="U23" s="37" t="n"/>
      <c r="V23" s="37" t="n"/>
      <c r="W23" s="37" t="n"/>
      <c r="X23" s="37" t="n"/>
      <c r="Y23" s="37" t="n"/>
      <c r="Z23" s="37" t="n"/>
      <c r="AA23" s="37" t="n"/>
      <c r="AB23" s="37" t="n"/>
      <c r="AC23" s="37" t="n"/>
      <c r="AD23" s="37" t="n"/>
      <c r="AE23" s="37" t="n"/>
      <c r="AF23" s="37" t="n"/>
      <c r="AG23" s="37" t="n"/>
      <c r="AH23" s="37" t="n"/>
      <c r="AI23" s="39">
        <f>IF($B23="","",COUNTIF(D23:AH23,"P"))</f>
        <v/>
      </c>
      <c r="AJ23" s="39">
        <f>IF($B23="","",COUNTIF(D23:AH23,"R"))</f>
        <v/>
      </c>
      <c r="AK23" s="39">
        <f>IF($B23="","",COUNTIF(D23:AH23,"A"))</f>
        <v/>
      </c>
      <c r="AL23" s="39">
        <f>IF($B23="","",COUNTIF(D23:AH23,"C"))</f>
        <v/>
      </c>
      <c r="AM23" s="39">
        <f>IF($B23="","",COUNTIF(D23:AH23,"M"))</f>
        <v/>
      </c>
      <c r="AN23" s="40">
        <f>IF($B23="","",IF(AI23+AJ23+AK23+AM23=0,"",(AI23+AJ23)/(AI23+AJ23+AK23+AM23)))</f>
        <v/>
      </c>
      <c r="AO23" s="41">
        <f>IF($B23="","",IF('Employés'!D21="","",(AI23+AJ23+AL23)*'Employés'!D21))</f>
        <v/>
      </c>
    </row>
    <row r="24" ht="20" customHeight="1">
      <c r="A24" s="37">
        <f>IF('Employés'!B22="","",'Employés'!A22)</f>
        <v/>
      </c>
      <c r="B24" s="38">
        <f>IF('Employés'!B22="","",'Employés'!B22)</f>
        <v/>
      </c>
      <c r="C24" s="38">
        <f>IF('Employés'!C22="","",'Employés'!C22)</f>
        <v/>
      </c>
      <c r="D24" s="37" t="n"/>
      <c r="E24" s="37" t="n"/>
      <c r="F24" s="37" t="n"/>
      <c r="G24" s="37" t="n"/>
      <c r="H24" s="37" t="n"/>
      <c r="I24" s="37" t="n"/>
      <c r="J24" s="37" t="n"/>
      <c r="K24" s="37" t="n"/>
      <c r="L24" s="37" t="n"/>
      <c r="M24" s="37" t="n"/>
      <c r="N24" s="37" t="n"/>
      <c r="O24" s="37" t="n"/>
      <c r="P24" s="37" t="n"/>
      <c r="Q24" s="37" t="n"/>
      <c r="R24" s="37" t="n"/>
      <c r="S24" s="37" t="n"/>
      <c r="T24" s="37" t="n"/>
      <c r="U24" s="37" t="n"/>
      <c r="V24" s="37" t="n"/>
      <c r="W24" s="37" t="n"/>
      <c r="X24" s="37" t="n"/>
      <c r="Y24" s="37" t="n"/>
      <c r="Z24" s="37" t="n"/>
      <c r="AA24" s="37" t="n"/>
      <c r="AB24" s="37" t="n"/>
      <c r="AC24" s="37" t="n"/>
      <c r="AD24" s="37" t="n"/>
      <c r="AE24" s="37" t="n"/>
      <c r="AF24" s="37" t="n"/>
      <c r="AG24" s="37" t="n"/>
      <c r="AH24" s="37" t="n"/>
      <c r="AI24" s="39">
        <f>IF($B24="","",COUNTIF(D24:AH24,"P"))</f>
        <v/>
      </c>
      <c r="AJ24" s="39">
        <f>IF($B24="","",COUNTIF(D24:AH24,"R"))</f>
        <v/>
      </c>
      <c r="AK24" s="39">
        <f>IF($B24="","",COUNTIF(D24:AH24,"A"))</f>
        <v/>
      </c>
      <c r="AL24" s="39">
        <f>IF($B24="","",COUNTIF(D24:AH24,"C"))</f>
        <v/>
      </c>
      <c r="AM24" s="39">
        <f>IF($B24="","",COUNTIF(D24:AH24,"M"))</f>
        <v/>
      </c>
      <c r="AN24" s="40">
        <f>IF($B24="","",IF(AI24+AJ24+AK24+AM24=0,"",(AI24+AJ24)/(AI24+AJ24+AK24+AM24)))</f>
        <v/>
      </c>
      <c r="AO24" s="41">
        <f>IF($B24="","",IF('Employés'!D22="","",(AI24+AJ24+AL24)*'Employés'!D22))</f>
        <v/>
      </c>
    </row>
    <row r="25" ht="20" customHeight="1">
      <c r="A25" s="37">
        <f>IF('Employés'!B23="","",'Employés'!A23)</f>
        <v/>
      </c>
      <c r="B25" s="38">
        <f>IF('Employés'!B23="","",'Employés'!B23)</f>
        <v/>
      </c>
      <c r="C25" s="38">
        <f>IF('Employés'!C23="","",'Employés'!C23)</f>
        <v/>
      </c>
      <c r="D25" s="37" t="n"/>
      <c r="E25" s="37" t="n"/>
      <c r="F25" s="37" t="n"/>
      <c r="G25" s="37" t="n"/>
      <c r="H25" s="37" t="n"/>
      <c r="I25" s="37" t="n"/>
      <c r="J25" s="37" t="n"/>
      <c r="K25" s="37" t="n"/>
      <c r="L25" s="37" t="n"/>
      <c r="M25" s="37" t="n"/>
      <c r="N25" s="37" t="n"/>
      <c r="O25" s="37" t="n"/>
      <c r="P25" s="37" t="n"/>
      <c r="Q25" s="37" t="n"/>
      <c r="R25" s="37" t="n"/>
      <c r="S25" s="37" t="n"/>
      <c r="T25" s="37" t="n"/>
      <c r="U25" s="37" t="n"/>
      <c r="V25" s="37" t="n"/>
      <c r="W25" s="37" t="n"/>
      <c r="X25" s="37" t="n"/>
      <c r="Y25" s="37" t="n"/>
      <c r="Z25" s="37" t="n"/>
      <c r="AA25" s="37" t="n"/>
      <c r="AB25" s="37" t="n"/>
      <c r="AC25" s="37" t="n"/>
      <c r="AD25" s="37" t="n"/>
      <c r="AE25" s="37" t="n"/>
      <c r="AF25" s="37" t="n"/>
      <c r="AG25" s="37" t="n"/>
      <c r="AH25" s="37" t="n"/>
      <c r="AI25" s="39">
        <f>IF($B25="","",COUNTIF(D25:AH25,"P"))</f>
        <v/>
      </c>
      <c r="AJ25" s="39">
        <f>IF($B25="","",COUNTIF(D25:AH25,"R"))</f>
        <v/>
      </c>
      <c r="AK25" s="39">
        <f>IF($B25="","",COUNTIF(D25:AH25,"A"))</f>
        <v/>
      </c>
      <c r="AL25" s="39">
        <f>IF($B25="","",COUNTIF(D25:AH25,"C"))</f>
        <v/>
      </c>
      <c r="AM25" s="39">
        <f>IF($B25="","",COUNTIF(D25:AH25,"M"))</f>
        <v/>
      </c>
      <c r="AN25" s="40">
        <f>IF($B25="","",IF(AI25+AJ25+AK25+AM25=0,"",(AI25+AJ25)/(AI25+AJ25+AK25+AM25)))</f>
        <v/>
      </c>
      <c r="AO25" s="41">
        <f>IF($B25="","",IF('Employés'!D23="","",(AI25+AJ25+AL25)*'Employés'!D23))</f>
        <v/>
      </c>
    </row>
    <row r="26" ht="20" customHeight="1">
      <c r="A26" s="37">
        <f>IF('Employés'!B24="","",'Employés'!A24)</f>
        <v/>
      </c>
      <c r="B26" s="38">
        <f>IF('Employés'!B24="","",'Employés'!B24)</f>
        <v/>
      </c>
      <c r="C26" s="38">
        <f>IF('Employés'!C24="","",'Employés'!C24)</f>
        <v/>
      </c>
      <c r="D26" s="37" t="n"/>
      <c r="E26" s="37" t="n"/>
      <c r="F26" s="37" t="n"/>
      <c r="G26" s="37" t="n"/>
      <c r="H26" s="37" t="n"/>
      <c r="I26" s="37" t="n"/>
      <c r="J26" s="37" t="n"/>
      <c r="K26" s="37" t="n"/>
      <c r="L26" s="37" t="n"/>
      <c r="M26" s="37" t="n"/>
      <c r="N26" s="37" t="n"/>
      <c r="O26" s="37" t="n"/>
      <c r="P26" s="37" t="n"/>
      <c r="Q26" s="37" t="n"/>
      <c r="R26" s="37" t="n"/>
      <c r="S26" s="37" t="n"/>
      <c r="T26" s="37" t="n"/>
      <c r="U26" s="37" t="n"/>
      <c r="V26" s="37" t="n"/>
      <c r="W26" s="37" t="n"/>
      <c r="X26" s="37" t="n"/>
      <c r="Y26" s="37" t="n"/>
      <c r="Z26" s="37" t="n"/>
      <c r="AA26" s="37" t="n"/>
      <c r="AB26" s="37" t="n"/>
      <c r="AC26" s="37" t="n"/>
      <c r="AD26" s="37" t="n"/>
      <c r="AE26" s="37" t="n"/>
      <c r="AF26" s="37" t="n"/>
      <c r="AG26" s="37" t="n"/>
      <c r="AH26" s="37" t="n"/>
      <c r="AI26" s="39">
        <f>IF($B26="","",COUNTIF(D26:AH26,"P"))</f>
        <v/>
      </c>
      <c r="AJ26" s="39">
        <f>IF($B26="","",COUNTIF(D26:AH26,"R"))</f>
        <v/>
      </c>
      <c r="AK26" s="39">
        <f>IF($B26="","",COUNTIF(D26:AH26,"A"))</f>
        <v/>
      </c>
      <c r="AL26" s="39">
        <f>IF($B26="","",COUNTIF(D26:AH26,"C"))</f>
        <v/>
      </c>
      <c r="AM26" s="39">
        <f>IF($B26="","",COUNTIF(D26:AH26,"M"))</f>
        <v/>
      </c>
      <c r="AN26" s="40">
        <f>IF($B26="","",IF(AI26+AJ26+AK26+AM26=0,"",(AI26+AJ26)/(AI26+AJ26+AK26+AM26)))</f>
        <v/>
      </c>
      <c r="AO26" s="41">
        <f>IF($B26="","",IF('Employés'!D24="","",(AI26+AJ26+AL26)*'Employés'!D24))</f>
        <v/>
      </c>
    </row>
    <row r="27" ht="20" customHeight="1">
      <c r="A27" s="37">
        <f>IF('Employés'!B25="","",'Employés'!A25)</f>
        <v/>
      </c>
      <c r="B27" s="38">
        <f>IF('Employés'!B25="","",'Employés'!B25)</f>
        <v/>
      </c>
      <c r="C27" s="38">
        <f>IF('Employés'!C25="","",'Employés'!C25)</f>
        <v/>
      </c>
      <c r="D27" s="37" t="n"/>
      <c r="E27" s="37" t="n"/>
      <c r="F27" s="37" t="n"/>
      <c r="G27" s="37" t="n"/>
      <c r="H27" s="37" t="n"/>
      <c r="I27" s="37" t="n"/>
      <c r="J27" s="37" t="n"/>
      <c r="K27" s="37" t="n"/>
      <c r="L27" s="37" t="n"/>
      <c r="M27" s="37" t="n"/>
      <c r="N27" s="37" t="n"/>
      <c r="O27" s="37" t="n"/>
      <c r="P27" s="37" t="n"/>
      <c r="Q27" s="37" t="n"/>
      <c r="R27" s="37" t="n"/>
      <c r="S27" s="37" t="n"/>
      <c r="T27" s="37" t="n"/>
      <c r="U27" s="37" t="n"/>
      <c r="V27" s="37" t="n"/>
      <c r="W27" s="37" t="n"/>
      <c r="X27" s="37" t="n"/>
      <c r="Y27" s="37" t="n"/>
      <c r="Z27" s="37" t="n"/>
      <c r="AA27" s="37" t="n"/>
      <c r="AB27" s="37" t="n"/>
      <c r="AC27" s="37" t="n"/>
      <c r="AD27" s="37" t="n"/>
      <c r="AE27" s="37" t="n"/>
      <c r="AF27" s="37" t="n"/>
      <c r="AG27" s="37" t="n"/>
      <c r="AH27" s="37" t="n"/>
      <c r="AI27" s="39">
        <f>IF($B27="","",COUNTIF(D27:AH27,"P"))</f>
        <v/>
      </c>
      <c r="AJ27" s="39">
        <f>IF($B27="","",COUNTIF(D27:AH27,"R"))</f>
        <v/>
      </c>
      <c r="AK27" s="39">
        <f>IF($B27="","",COUNTIF(D27:AH27,"A"))</f>
        <v/>
      </c>
      <c r="AL27" s="39">
        <f>IF($B27="","",COUNTIF(D27:AH27,"C"))</f>
        <v/>
      </c>
      <c r="AM27" s="39">
        <f>IF($B27="","",COUNTIF(D27:AH27,"M"))</f>
        <v/>
      </c>
      <c r="AN27" s="40">
        <f>IF($B27="","",IF(AI27+AJ27+AK27+AM27=0,"",(AI27+AJ27)/(AI27+AJ27+AK27+AM27)))</f>
        <v/>
      </c>
      <c r="AO27" s="41">
        <f>IF($B27="","",IF('Employés'!D25="","",(AI27+AJ27+AL27)*'Employés'!D25))</f>
        <v/>
      </c>
    </row>
    <row r="28" ht="20" customHeight="1">
      <c r="A28" s="37">
        <f>IF('Employés'!B26="","",'Employés'!A26)</f>
        <v/>
      </c>
      <c r="B28" s="38">
        <f>IF('Employés'!B26="","",'Employés'!B26)</f>
        <v/>
      </c>
      <c r="C28" s="38">
        <f>IF('Employés'!C26="","",'Employés'!C26)</f>
        <v/>
      </c>
      <c r="D28" s="37" t="n"/>
      <c r="E28" s="37" t="n"/>
      <c r="F28" s="37" t="n"/>
      <c r="G28" s="37" t="n"/>
      <c r="H28" s="37" t="n"/>
      <c r="I28" s="37" t="n"/>
      <c r="J28" s="37" t="n"/>
      <c r="K28" s="37" t="n"/>
      <c r="L28" s="37" t="n"/>
      <c r="M28" s="37" t="n"/>
      <c r="N28" s="37" t="n"/>
      <c r="O28" s="37" t="n"/>
      <c r="P28" s="37" t="n"/>
      <c r="Q28" s="37" t="n"/>
      <c r="R28" s="37" t="n"/>
      <c r="S28" s="37" t="n"/>
      <c r="T28" s="37" t="n"/>
      <c r="U28" s="37" t="n"/>
      <c r="V28" s="37" t="n"/>
      <c r="W28" s="37" t="n"/>
      <c r="X28" s="37" t="n"/>
      <c r="Y28" s="37" t="n"/>
      <c r="Z28" s="37" t="n"/>
      <c r="AA28" s="37" t="n"/>
      <c r="AB28" s="37" t="n"/>
      <c r="AC28" s="37" t="n"/>
      <c r="AD28" s="37" t="n"/>
      <c r="AE28" s="37" t="n"/>
      <c r="AF28" s="37" t="n"/>
      <c r="AG28" s="37" t="n"/>
      <c r="AH28" s="37" t="n"/>
      <c r="AI28" s="39">
        <f>IF($B28="","",COUNTIF(D28:AH28,"P"))</f>
        <v/>
      </c>
      <c r="AJ28" s="39">
        <f>IF($B28="","",COUNTIF(D28:AH28,"R"))</f>
        <v/>
      </c>
      <c r="AK28" s="39">
        <f>IF($B28="","",COUNTIF(D28:AH28,"A"))</f>
        <v/>
      </c>
      <c r="AL28" s="39">
        <f>IF($B28="","",COUNTIF(D28:AH28,"C"))</f>
        <v/>
      </c>
      <c r="AM28" s="39">
        <f>IF($B28="","",COUNTIF(D28:AH28,"M"))</f>
        <v/>
      </c>
      <c r="AN28" s="40">
        <f>IF($B28="","",IF(AI28+AJ28+AK28+AM28=0,"",(AI28+AJ28)/(AI28+AJ28+AK28+AM28)))</f>
        <v/>
      </c>
      <c r="AO28" s="41">
        <f>IF($B28="","",IF('Employés'!D26="","",(AI28+AJ28+AL28)*'Employés'!D26))</f>
        <v/>
      </c>
    </row>
    <row r="29" ht="20" customHeight="1">
      <c r="A29" s="37">
        <f>IF('Employés'!B27="","",'Employés'!A27)</f>
        <v/>
      </c>
      <c r="B29" s="38">
        <f>IF('Employés'!B27="","",'Employés'!B27)</f>
        <v/>
      </c>
      <c r="C29" s="38">
        <f>IF('Employés'!C27="","",'Employés'!C27)</f>
        <v/>
      </c>
      <c r="D29" s="37" t="n"/>
      <c r="E29" s="37" t="n"/>
      <c r="F29" s="37" t="n"/>
      <c r="G29" s="37" t="n"/>
      <c r="H29" s="37" t="n"/>
      <c r="I29" s="37" t="n"/>
      <c r="J29" s="37" t="n"/>
      <c r="K29" s="37" t="n"/>
      <c r="L29" s="37" t="n"/>
      <c r="M29" s="37" t="n"/>
      <c r="N29" s="37" t="n"/>
      <c r="O29" s="37" t="n"/>
      <c r="P29" s="37" t="n"/>
      <c r="Q29" s="37" t="n"/>
      <c r="R29" s="37" t="n"/>
      <c r="S29" s="37" t="n"/>
      <c r="T29" s="37" t="n"/>
      <c r="U29" s="37" t="n"/>
      <c r="V29" s="37" t="n"/>
      <c r="W29" s="37" t="n"/>
      <c r="X29" s="37" t="n"/>
      <c r="Y29" s="37" t="n"/>
      <c r="Z29" s="37" t="n"/>
      <c r="AA29" s="37" t="n"/>
      <c r="AB29" s="37" t="n"/>
      <c r="AC29" s="37" t="n"/>
      <c r="AD29" s="37" t="n"/>
      <c r="AE29" s="37" t="n"/>
      <c r="AF29" s="37" t="n"/>
      <c r="AG29" s="37" t="n"/>
      <c r="AH29" s="37" t="n"/>
      <c r="AI29" s="39">
        <f>IF($B29="","",COUNTIF(D29:AH29,"P"))</f>
        <v/>
      </c>
      <c r="AJ29" s="39">
        <f>IF($B29="","",COUNTIF(D29:AH29,"R"))</f>
        <v/>
      </c>
      <c r="AK29" s="39">
        <f>IF($B29="","",COUNTIF(D29:AH29,"A"))</f>
        <v/>
      </c>
      <c r="AL29" s="39">
        <f>IF($B29="","",COUNTIF(D29:AH29,"C"))</f>
        <v/>
      </c>
      <c r="AM29" s="39">
        <f>IF($B29="","",COUNTIF(D29:AH29,"M"))</f>
        <v/>
      </c>
      <c r="AN29" s="40">
        <f>IF($B29="","",IF(AI29+AJ29+AK29+AM29=0,"",(AI29+AJ29)/(AI29+AJ29+AK29+AM29)))</f>
        <v/>
      </c>
      <c r="AO29" s="41">
        <f>IF($B29="","",IF('Employés'!D27="","",(AI29+AJ29+AL29)*'Employés'!D27))</f>
        <v/>
      </c>
    </row>
    <row r="30" ht="20" customHeight="1">
      <c r="A30" s="37">
        <f>IF('Employés'!B28="","",'Employés'!A28)</f>
        <v/>
      </c>
      <c r="B30" s="38">
        <f>IF('Employés'!B28="","",'Employés'!B28)</f>
        <v/>
      </c>
      <c r="C30" s="38">
        <f>IF('Employés'!C28="","",'Employés'!C28)</f>
        <v/>
      </c>
      <c r="D30" s="37" t="n"/>
      <c r="E30" s="37" t="n"/>
      <c r="F30" s="37" t="n"/>
      <c r="G30" s="37" t="n"/>
      <c r="H30" s="37" t="n"/>
      <c r="I30" s="37" t="n"/>
      <c r="J30" s="37" t="n"/>
      <c r="K30" s="37" t="n"/>
      <c r="L30" s="37" t="n"/>
      <c r="M30" s="37" t="n"/>
      <c r="N30" s="37" t="n"/>
      <c r="O30" s="37" t="n"/>
      <c r="P30" s="37" t="n"/>
      <c r="Q30" s="37" t="n"/>
      <c r="R30" s="37" t="n"/>
      <c r="S30" s="37" t="n"/>
      <c r="T30" s="37" t="n"/>
      <c r="U30" s="37" t="n"/>
      <c r="V30" s="37" t="n"/>
      <c r="W30" s="37" t="n"/>
      <c r="X30" s="37" t="n"/>
      <c r="Y30" s="37" t="n"/>
      <c r="Z30" s="37" t="n"/>
      <c r="AA30" s="37" t="n"/>
      <c r="AB30" s="37" t="n"/>
      <c r="AC30" s="37" t="n"/>
      <c r="AD30" s="37" t="n"/>
      <c r="AE30" s="37" t="n"/>
      <c r="AF30" s="37" t="n"/>
      <c r="AG30" s="37" t="n"/>
      <c r="AH30" s="37" t="n"/>
      <c r="AI30" s="39">
        <f>IF($B30="","",COUNTIF(D30:AH30,"P"))</f>
        <v/>
      </c>
      <c r="AJ30" s="39">
        <f>IF($B30="","",COUNTIF(D30:AH30,"R"))</f>
        <v/>
      </c>
      <c r="AK30" s="39">
        <f>IF($B30="","",COUNTIF(D30:AH30,"A"))</f>
        <v/>
      </c>
      <c r="AL30" s="39">
        <f>IF($B30="","",COUNTIF(D30:AH30,"C"))</f>
        <v/>
      </c>
      <c r="AM30" s="39">
        <f>IF($B30="","",COUNTIF(D30:AH30,"M"))</f>
        <v/>
      </c>
      <c r="AN30" s="40">
        <f>IF($B30="","",IF(AI30+AJ30+AK30+AM30=0,"",(AI30+AJ30)/(AI30+AJ30+AK30+AM30)))</f>
        <v/>
      </c>
      <c r="AO30" s="41">
        <f>IF($B30="","",IF('Employés'!D28="","",(AI30+AJ30+AL30)*'Employés'!D28))</f>
        <v/>
      </c>
    </row>
    <row r="31" ht="20" customHeight="1">
      <c r="A31" s="37">
        <f>IF('Employés'!B29="","",'Employés'!A29)</f>
        <v/>
      </c>
      <c r="B31" s="38">
        <f>IF('Employés'!B29="","",'Employés'!B29)</f>
        <v/>
      </c>
      <c r="C31" s="38">
        <f>IF('Employés'!C29="","",'Employés'!C29)</f>
        <v/>
      </c>
      <c r="D31" s="37" t="n"/>
      <c r="E31" s="37" t="n"/>
      <c r="F31" s="37" t="n"/>
      <c r="G31" s="37" t="n"/>
      <c r="H31" s="37" t="n"/>
      <c r="I31" s="37" t="n"/>
      <c r="J31" s="37" t="n"/>
      <c r="K31" s="37" t="n"/>
      <c r="L31" s="37" t="n"/>
      <c r="M31" s="37" t="n"/>
      <c r="N31" s="37" t="n"/>
      <c r="O31" s="37" t="n"/>
      <c r="P31" s="37" t="n"/>
      <c r="Q31" s="37" t="n"/>
      <c r="R31" s="37" t="n"/>
      <c r="S31" s="37" t="n"/>
      <c r="T31" s="37" t="n"/>
      <c r="U31" s="37" t="n"/>
      <c r="V31" s="37" t="n"/>
      <c r="W31" s="37" t="n"/>
      <c r="X31" s="37" t="n"/>
      <c r="Y31" s="37" t="n"/>
      <c r="Z31" s="37" t="n"/>
      <c r="AA31" s="37" t="n"/>
      <c r="AB31" s="37" t="n"/>
      <c r="AC31" s="37" t="n"/>
      <c r="AD31" s="37" t="n"/>
      <c r="AE31" s="37" t="n"/>
      <c r="AF31" s="37" t="n"/>
      <c r="AG31" s="37" t="n"/>
      <c r="AH31" s="37" t="n"/>
      <c r="AI31" s="39">
        <f>IF($B31="","",COUNTIF(D31:AH31,"P"))</f>
        <v/>
      </c>
      <c r="AJ31" s="39">
        <f>IF($B31="","",COUNTIF(D31:AH31,"R"))</f>
        <v/>
      </c>
      <c r="AK31" s="39">
        <f>IF($B31="","",COUNTIF(D31:AH31,"A"))</f>
        <v/>
      </c>
      <c r="AL31" s="39">
        <f>IF($B31="","",COUNTIF(D31:AH31,"C"))</f>
        <v/>
      </c>
      <c r="AM31" s="39">
        <f>IF($B31="","",COUNTIF(D31:AH31,"M"))</f>
        <v/>
      </c>
      <c r="AN31" s="40">
        <f>IF($B31="","",IF(AI31+AJ31+AK31+AM31=0,"",(AI31+AJ31)/(AI31+AJ31+AK31+AM31)))</f>
        <v/>
      </c>
      <c r="AO31" s="41">
        <f>IF($B31="","",IF('Employés'!D29="","",(AI31+AJ31+AL31)*'Employés'!D29))</f>
        <v/>
      </c>
    </row>
    <row r="32" ht="20" customHeight="1">
      <c r="A32" s="37">
        <f>IF('Employés'!B30="","",'Employés'!A30)</f>
        <v/>
      </c>
      <c r="B32" s="38">
        <f>IF('Employés'!B30="","",'Employés'!B30)</f>
        <v/>
      </c>
      <c r="C32" s="38">
        <f>IF('Employés'!C30="","",'Employés'!C30)</f>
        <v/>
      </c>
      <c r="D32" s="37" t="n"/>
      <c r="E32" s="37" t="n"/>
      <c r="F32" s="37" t="n"/>
      <c r="G32" s="37" t="n"/>
      <c r="H32" s="37" t="n"/>
      <c r="I32" s="37" t="n"/>
      <c r="J32" s="37" t="n"/>
      <c r="K32" s="37" t="n"/>
      <c r="L32" s="37" t="n"/>
      <c r="M32" s="37" t="n"/>
      <c r="N32" s="37" t="n"/>
      <c r="O32" s="37" t="n"/>
      <c r="P32" s="37" t="n"/>
      <c r="Q32" s="37" t="n"/>
      <c r="R32" s="37" t="n"/>
      <c r="S32" s="37" t="n"/>
      <c r="T32" s="37" t="n"/>
      <c r="U32" s="37" t="n"/>
      <c r="V32" s="37" t="n"/>
      <c r="W32" s="37" t="n"/>
      <c r="X32" s="37" t="n"/>
      <c r="Y32" s="37" t="n"/>
      <c r="Z32" s="37" t="n"/>
      <c r="AA32" s="37" t="n"/>
      <c r="AB32" s="37" t="n"/>
      <c r="AC32" s="37" t="n"/>
      <c r="AD32" s="37" t="n"/>
      <c r="AE32" s="37" t="n"/>
      <c r="AF32" s="37" t="n"/>
      <c r="AG32" s="37" t="n"/>
      <c r="AH32" s="37" t="n"/>
      <c r="AI32" s="39">
        <f>IF($B32="","",COUNTIF(D32:AH32,"P"))</f>
        <v/>
      </c>
      <c r="AJ32" s="39">
        <f>IF($B32="","",COUNTIF(D32:AH32,"R"))</f>
        <v/>
      </c>
      <c r="AK32" s="39">
        <f>IF($B32="","",COUNTIF(D32:AH32,"A"))</f>
        <v/>
      </c>
      <c r="AL32" s="39">
        <f>IF($B32="","",COUNTIF(D32:AH32,"C"))</f>
        <v/>
      </c>
      <c r="AM32" s="39">
        <f>IF($B32="","",COUNTIF(D32:AH32,"M"))</f>
        <v/>
      </c>
      <c r="AN32" s="40">
        <f>IF($B32="","",IF(AI32+AJ32+AK32+AM32=0,"",(AI32+AJ32)/(AI32+AJ32+AK32+AM32)))</f>
        <v/>
      </c>
      <c r="AO32" s="41">
        <f>IF($B32="","",IF('Employés'!D30="","",(AI32+AJ32+AL32)*'Employés'!D30))</f>
        <v/>
      </c>
    </row>
    <row r="33" ht="20" customHeight="1">
      <c r="A33" s="37">
        <f>IF('Employés'!B31="","",'Employés'!A31)</f>
        <v/>
      </c>
      <c r="B33" s="38">
        <f>IF('Employés'!B31="","",'Employés'!B31)</f>
        <v/>
      </c>
      <c r="C33" s="38">
        <f>IF('Employés'!C31="","",'Employés'!C31)</f>
        <v/>
      </c>
      <c r="D33" s="37" t="n"/>
      <c r="E33" s="37" t="n"/>
      <c r="F33" s="37" t="n"/>
      <c r="G33" s="37" t="n"/>
      <c r="H33" s="37" t="n"/>
      <c r="I33" s="37" t="n"/>
      <c r="J33" s="37" t="n"/>
      <c r="K33" s="37" t="n"/>
      <c r="L33" s="37" t="n"/>
      <c r="M33" s="37" t="n"/>
      <c r="N33" s="37" t="n"/>
      <c r="O33" s="37" t="n"/>
      <c r="P33" s="37" t="n"/>
      <c r="Q33" s="37" t="n"/>
      <c r="R33" s="37" t="n"/>
      <c r="S33" s="37" t="n"/>
      <c r="T33" s="37" t="n"/>
      <c r="U33" s="37" t="n"/>
      <c r="V33" s="37" t="n"/>
      <c r="W33" s="37" t="n"/>
      <c r="X33" s="37" t="n"/>
      <c r="Y33" s="37" t="n"/>
      <c r="Z33" s="37" t="n"/>
      <c r="AA33" s="37" t="n"/>
      <c r="AB33" s="37" t="n"/>
      <c r="AC33" s="37" t="n"/>
      <c r="AD33" s="37" t="n"/>
      <c r="AE33" s="37" t="n"/>
      <c r="AF33" s="37" t="n"/>
      <c r="AG33" s="37" t="n"/>
      <c r="AH33" s="37" t="n"/>
      <c r="AI33" s="39">
        <f>IF($B33="","",COUNTIF(D33:AH33,"P"))</f>
        <v/>
      </c>
      <c r="AJ33" s="39">
        <f>IF($B33="","",COUNTIF(D33:AH33,"R"))</f>
        <v/>
      </c>
      <c r="AK33" s="39">
        <f>IF($B33="","",COUNTIF(D33:AH33,"A"))</f>
        <v/>
      </c>
      <c r="AL33" s="39">
        <f>IF($B33="","",COUNTIF(D33:AH33,"C"))</f>
        <v/>
      </c>
      <c r="AM33" s="39">
        <f>IF($B33="","",COUNTIF(D33:AH33,"M"))</f>
        <v/>
      </c>
      <c r="AN33" s="40">
        <f>IF($B33="","",IF(AI33+AJ33+AK33+AM33=0,"",(AI33+AJ33)/(AI33+AJ33+AK33+AM33)))</f>
        <v/>
      </c>
      <c r="AO33" s="41">
        <f>IF($B33="","",IF('Employés'!D31="","",(AI33+AJ33+AL33)*'Employés'!D31))</f>
        <v/>
      </c>
    </row>
    <row r="34" ht="20" customHeight="1">
      <c r="A34" s="37">
        <f>IF('Employés'!B32="","",'Employés'!A32)</f>
        <v/>
      </c>
      <c r="B34" s="38">
        <f>IF('Employés'!B32="","",'Employés'!B32)</f>
        <v/>
      </c>
      <c r="C34" s="38">
        <f>IF('Employés'!C32="","",'Employés'!C32)</f>
        <v/>
      </c>
      <c r="D34" s="37" t="n"/>
      <c r="E34" s="37" t="n"/>
      <c r="F34" s="37" t="n"/>
      <c r="G34" s="37" t="n"/>
      <c r="H34" s="37" t="n"/>
      <c r="I34" s="37" t="n"/>
      <c r="J34" s="37" t="n"/>
      <c r="K34" s="37" t="n"/>
      <c r="L34" s="37" t="n"/>
      <c r="M34" s="37" t="n"/>
      <c r="N34" s="37" t="n"/>
      <c r="O34" s="37" t="n"/>
      <c r="P34" s="37" t="n"/>
      <c r="Q34" s="37" t="n"/>
      <c r="R34" s="37" t="n"/>
      <c r="S34" s="37" t="n"/>
      <c r="T34" s="37" t="n"/>
      <c r="U34" s="37" t="n"/>
      <c r="V34" s="37" t="n"/>
      <c r="W34" s="37" t="n"/>
      <c r="X34" s="37" t="n"/>
      <c r="Y34" s="37" t="n"/>
      <c r="Z34" s="37" t="n"/>
      <c r="AA34" s="37" t="n"/>
      <c r="AB34" s="37" t="n"/>
      <c r="AC34" s="37" t="n"/>
      <c r="AD34" s="37" t="n"/>
      <c r="AE34" s="37" t="n"/>
      <c r="AF34" s="37" t="n"/>
      <c r="AG34" s="37" t="n"/>
      <c r="AH34" s="37" t="n"/>
      <c r="AI34" s="39">
        <f>IF($B34="","",COUNTIF(D34:AH34,"P"))</f>
        <v/>
      </c>
      <c r="AJ34" s="39">
        <f>IF($B34="","",COUNTIF(D34:AH34,"R"))</f>
        <v/>
      </c>
      <c r="AK34" s="39">
        <f>IF($B34="","",COUNTIF(D34:AH34,"A"))</f>
        <v/>
      </c>
      <c r="AL34" s="39">
        <f>IF($B34="","",COUNTIF(D34:AH34,"C"))</f>
        <v/>
      </c>
      <c r="AM34" s="39">
        <f>IF($B34="","",COUNTIF(D34:AH34,"M"))</f>
        <v/>
      </c>
      <c r="AN34" s="40">
        <f>IF($B34="","",IF(AI34+AJ34+AK34+AM34=0,"",(AI34+AJ34)/(AI34+AJ34+AK34+AM34)))</f>
        <v/>
      </c>
      <c r="AO34" s="41">
        <f>IF($B34="","",IF('Employés'!D32="","",(AI34+AJ34+AL34)*'Employés'!D32))</f>
        <v/>
      </c>
    </row>
    <row r="35" ht="20" customHeight="1">
      <c r="A35" s="37">
        <f>IF('Employés'!B33="","",'Employés'!A33)</f>
        <v/>
      </c>
      <c r="B35" s="38">
        <f>IF('Employés'!B33="","",'Employés'!B33)</f>
        <v/>
      </c>
      <c r="C35" s="38">
        <f>IF('Employés'!C33="","",'Employés'!C33)</f>
        <v/>
      </c>
      <c r="D35" s="37" t="n"/>
      <c r="E35" s="37" t="n"/>
      <c r="F35" s="37" t="n"/>
      <c r="G35" s="37" t="n"/>
      <c r="H35" s="37" t="n"/>
      <c r="I35" s="37" t="n"/>
      <c r="J35" s="37" t="n"/>
      <c r="K35" s="37" t="n"/>
      <c r="L35" s="37" t="n"/>
      <c r="M35" s="37" t="n"/>
      <c r="N35" s="37" t="n"/>
      <c r="O35" s="37" t="n"/>
      <c r="P35" s="37" t="n"/>
      <c r="Q35" s="37" t="n"/>
      <c r="R35" s="37" t="n"/>
      <c r="S35" s="37" t="n"/>
      <c r="T35" s="37" t="n"/>
      <c r="U35" s="37" t="n"/>
      <c r="V35" s="37" t="n"/>
      <c r="W35" s="37" t="n"/>
      <c r="X35" s="37" t="n"/>
      <c r="Y35" s="37" t="n"/>
      <c r="Z35" s="37" t="n"/>
      <c r="AA35" s="37" t="n"/>
      <c r="AB35" s="37" t="n"/>
      <c r="AC35" s="37" t="n"/>
      <c r="AD35" s="37" t="n"/>
      <c r="AE35" s="37" t="n"/>
      <c r="AF35" s="37" t="n"/>
      <c r="AG35" s="37" t="n"/>
      <c r="AH35" s="37" t="n"/>
      <c r="AI35" s="39">
        <f>IF($B35="","",COUNTIF(D35:AH35,"P"))</f>
        <v/>
      </c>
      <c r="AJ35" s="39">
        <f>IF($B35="","",COUNTIF(D35:AH35,"R"))</f>
        <v/>
      </c>
      <c r="AK35" s="39">
        <f>IF($B35="","",COUNTIF(D35:AH35,"A"))</f>
        <v/>
      </c>
      <c r="AL35" s="39">
        <f>IF($B35="","",COUNTIF(D35:AH35,"C"))</f>
        <v/>
      </c>
      <c r="AM35" s="39">
        <f>IF($B35="","",COUNTIF(D35:AH35,"M"))</f>
        <v/>
      </c>
      <c r="AN35" s="40">
        <f>IF($B35="","",IF(AI35+AJ35+AK35+AM35=0,"",(AI35+AJ35)/(AI35+AJ35+AK35+AM35)))</f>
        <v/>
      </c>
      <c r="AO35" s="41">
        <f>IF($B35="","",IF('Employés'!D33="","",(AI35+AJ35+AL35)*'Employés'!D33))</f>
        <v/>
      </c>
    </row>
    <row r="36" ht="20" customHeight="1">
      <c r="A36" s="37">
        <f>IF('Employés'!B34="","",'Employés'!A34)</f>
        <v/>
      </c>
      <c r="B36" s="38">
        <f>IF('Employés'!B34="","",'Employés'!B34)</f>
        <v/>
      </c>
      <c r="C36" s="38">
        <f>IF('Employés'!C34="","",'Employés'!C34)</f>
        <v/>
      </c>
      <c r="D36" s="37" t="n"/>
      <c r="E36" s="37" t="n"/>
      <c r="F36" s="37" t="n"/>
      <c r="G36" s="37" t="n"/>
      <c r="H36" s="37" t="n"/>
      <c r="I36" s="37" t="n"/>
      <c r="J36" s="37" t="n"/>
      <c r="K36" s="37" t="n"/>
      <c r="L36" s="37" t="n"/>
      <c r="M36" s="37" t="n"/>
      <c r="N36" s="37" t="n"/>
      <c r="O36" s="37" t="n"/>
      <c r="P36" s="37" t="n"/>
      <c r="Q36" s="37" t="n"/>
      <c r="R36" s="37" t="n"/>
      <c r="S36" s="37" t="n"/>
      <c r="T36" s="37" t="n"/>
      <c r="U36" s="37" t="n"/>
      <c r="V36" s="37" t="n"/>
      <c r="W36" s="37" t="n"/>
      <c r="X36" s="37" t="n"/>
      <c r="Y36" s="37" t="n"/>
      <c r="Z36" s="37" t="n"/>
      <c r="AA36" s="37" t="n"/>
      <c r="AB36" s="37" t="n"/>
      <c r="AC36" s="37" t="n"/>
      <c r="AD36" s="37" t="n"/>
      <c r="AE36" s="37" t="n"/>
      <c r="AF36" s="37" t="n"/>
      <c r="AG36" s="37" t="n"/>
      <c r="AH36" s="37" t="n"/>
      <c r="AI36" s="39">
        <f>IF($B36="","",COUNTIF(D36:AH36,"P"))</f>
        <v/>
      </c>
      <c r="AJ36" s="39">
        <f>IF($B36="","",COUNTIF(D36:AH36,"R"))</f>
        <v/>
      </c>
      <c r="AK36" s="39">
        <f>IF($B36="","",COUNTIF(D36:AH36,"A"))</f>
        <v/>
      </c>
      <c r="AL36" s="39">
        <f>IF($B36="","",COUNTIF(D36:AH36,"C"))</f>
        <v/>
      </c>
      <c r="AM36" s="39">
        <f>IF($B36="","",COUNTIF(D36:AH36,"M"))</f>
        <v/>
      </c>
      <c r="AN36" s="40">
        <f>IF($B36="","",IF(AI36+AJ36+AK36+AM36=0,"",(AI36+AJ36)/(AI36+AJ36+AK36+AM36)))</f>
        <v/>
      </c>
      <c r="AO36" s="41">
        <f>IF($B36="","",IF('Employés'!D34="","",(AI36+AJ36+AL36)*'Employés'!D34))</f>
        <v/>
      </c>
    </row>
    <row r="37">
      <c r="A37" s="42" t="n"/>
      <c r="B37" s="42" t="inlineStr">
        <is>
          <t>TOTAL</t>
        </is>
      </c>
      <c r="C37" s="42" t="n"/>
      <c r="D37" s="42" t="n"/>
      <c r="E37" s="42" t="n"/>
      <c r="F37" s="42" t="n"/>
      <c r="G37" s="42" t="n"/>
      <c r="H37" s="42" t="n"/>
      <c r="I37" s="42" t="n"/>
      <c r="J37" s="42" t="n"/>
      <c r="K37" s="42" t="n"/>
      <c r="L37" s="42" t="n"/>
      <c r="M37" s="42" t="n"/>
      <c r="N37" s="42" t="n"/>
      <c r="O37" s="42" t="n"/>
      <c r="P37" s="42" t="n"/>
      <c r="Q37" s="42" t="n"/>
      <c r="R37" s="42" t="n"/>
      <c r="S37" s="42" t="n"/>
      <c r="T37" s="42" t="n"/>
      <c r="U37" s="42" t="n"/>
      <c r="V37" s="42" t="n"/>
      <c r="W37" s="42" t="n"/>
      <c r="X37" s="42" t="n"/>
      <c r="Y37" s="42" t="n"/>
      <c r="Z37" s="42" t="n"/>
      <c r="AA37" s="42" t="n"/>
      <c r="AB37" s="42" t="n"/>
      <c r="AC37" s="42" t="n"/>
      <c r="AD37" s="42" t="n"/>
      <c r="AE37" s="42" t="n"/>
      <c r="AF37" s="42" t="n"/>
      <c r="AG37" s="42" t="n"/>
      <c r="AH37" s="42" t="n"/>
      <c r="AI37" s="42">
        <f>SUM(AI7:AI36)</f>
        <v/>
      </c>
      <c r="AJ37" s="42">
        <f>SUM(AJ7:AJ36)</f>
        <v/>
      </c>
      <c r="AK37" s="42">
        <f>SUM(AK7:AK36)</f>
        <v/>
      </c>
      <c r="AL37" s="42">
        <f>SUM(AL7:AL36)</f>
        <v/>
      </c>
      <c r="AM37" s="42">
        <f>SUM(AM7:AM36)</f>
        <v/>
      </c>
      <c r="AN37" s="42" t="n"/>
      <c r="AO37" s="43">
        <f>SUM(AO7:AO36)</f>
        <v/>
      </c>
    </row>
  </sheetData>
  <mergeCells count="17">
    <mergeCell ref="A5:A6"/>
    <mergeCell ref="A2:AO2"/>
    <mergeCell ref="AI5:AI6"/>
    <mergeCell ref="D3:G3"/>
    <mergeCell ref="S3:V3"/>
    <mergeCell ref="X3:AA3"/>
    <mergeCell ref="AJ5:AJ6"/>
    <mergeCell ref="AK5:AK6"/>
    <mergeCell ref="I3:L3"/>
    <mergeCell ref="AL5:AL6"/>
    <mergeCell ref="AM5:AM6"/>
    <mergeCell ref="AN5:AN6"/>
    <mergeCell ref="A1:AO1"/>
    <mergeCell ref="N3:Q3"/>
    <mergeCell ref="AO5:AO6"/>
    <mergeCell ref="B5:B6"/>
    <mergeCell ref="C5:C6"/>
  </mergeCells>
  <conditionalFormatting sqref="D7:AH36">
    <cfRule type="expression" priority="1" dxfId="0">
      <formula>UPPER(D7)="P"</formula>
    </cfRule>
    <cfRule type="expression" priority="2" dxfId="1">
      <formula>UPPER(D7)="R"</formula>
    </cfRule>
    <cfRule type="expression" priority="3" dxfId="2">
      <formula>UPPER(D7)="A"</formula>
    </cfRule>
    <cfRule type="expression" priority="4" dxfId="3">
      <formula>UPPER(D7)="C"</formula>
    </cfRule>
    <cfRule type="expression" priority="5" dxfId="4">
      <formula>UPPER(D7)="M"</formula>
    </cfRule>
    <cfRule type="expression" priority="6" dxfId="5">
      <formula>OR(D$6="Sam",D$6="Dim",D$5="")</formula>
    </cfRule>
  </conditionalFormatting>
  <dataValidations count="1">
    <dataValidation sqref="D7:AH36" showDropDown="0" showInputMessage="0" showErrorMessage="1" allowBlank="1" errorTitle="Code inconnu" error="Utilisez P, R, A, C ou M." type="list">
      <formula1>"P,R,A,C,M"</formula1>
    </dataValidation>
  </dataValidations>
  <pageMargins left="0.75" right="0.75" top="1" bottom="1" header="0.5" footer="0.5"/>
  <pageSetup orientation="landscape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AO37"/>
  <sheetViews>
    <sheetView zoomScale="90" workbookViewId="0">
      <pane xSplit="3" ySplit="6" topLeftCell="D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24" customWidth="1" min="2" max="2"/>
    <col width="14" customWidth="1" min="3" max="3"/>
    <col width="4.6" customWidth="1" min="4" max="4"/>
    <col width="4.6" customWidth="1" min="5" max="5"/>
    <col width="4.6" customWidth="1" min="6" max="6"/>
    <col width="4.6" customWidth="1" min="7" max="7"/>
    <col width="4.6" customWidth="1" min="8" max="8"/>
    <col width="4.6" customWidth="1" min="9" max="9"/>
    <col width="4.6" customWidth="1" min="10" max="10"/>
    <col width="4.6" customWidth="1" min="11" max="11"/>
    <col width="4.6" customWidth="1" min="12" max="12"/>
    <col width="4.6" customWidth="1" min="13" max="13"/>
    <col width="4.6" customWidth="1" min="14" max="14"/>
    <col width="4.6" customWidth="1" min="15" max="15"/>
    <col width="4.6" customWidth="1" min="16" max="16"/>
    <col width="4.6" customWidth="1" min="17" max="17"/>
    <col width="4.6" customWidth="1" min="18" max="18"/>
    <col width="4.6" customWidth="1" min="19" max="19"/>
    <col width="4.6" customWidth="1" min="20" max="20"/>
    <col width="4.6" customWidth="1" min="21" max="21"/>
    <col width="4.6" customWidth="1" min="22" max="22"/>
    <col width="4.6" customWidth="1" min="23" max="23"/>
    <col width="4.6" customWidth="1" min="24" max="24"/>
    <col width="4.6" customWidth="1" min="25" max="25"/>
    <col width="4.6" customWidth="1" min="26" max="26"/>
    <col width="4.6" customWidth="1" min="27" max="27"/>
    <col width="4.6" customWidth="1" min="28" max="28"/>
    <col width="4.6" customWidth="1" min="29" max="29"/>
    <col width="4.6" customWidth="1" min="30" max="30"/>
    <col width="4.6" customWidth="1" min="31" max="31"/>
    <col width="4.6" customWidth="1" min="32" max="32"/>
    <col width="4.6" customWidth="1" min="33" max="33"/>
    <col width="4.6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13" customWidth="1" min="40" max="40"/>
    <col width="13" customWidth="1" min="41" max="41"/>
  </cols>
  <sheetData>
    <row r="1" ht="34" customHeight="1">
      <c r="A1" s="1">
        <f>'Paramètres'!$B$4&amp;" · Pointage de Octobre "&amp;'Paramètres'!$B$5</f>
        <v/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</row>
    <row r="2" ht="20" customHeight="1">
      <c r="A2" s="3" t="inlineStr">
        <is>
          <t>Outil offert par Logia (DWTS) · Un logiciel sur mesure pour votre entreprise ? WhatsApp 062 67 14 45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2" t="n"/>
      <c r="AL2" s="2" t="n"/>
      <c r="AM2" s="2" t="n"/>
      <c r="AN2" s="2" t="n"/>
      <c r="AO2" s="2" t="n"/>
    </row>
    <row r="3">
      <c r="A3" s="6" t="inlineStr">
        <is>
          <t>Codes :</t>
        </is>
      </c>
      <c r="D3" s="30" t="inlineStr">
        <is>
          <t>P = Présent</t>
        </is>
      </c>
      <c r="I3" s="31" t="inlineStr">
        <is>
          <t>R = En retard</t>
        </is>
      </c>
      <c r="N3" s="32" t="inlineStr">
        <is>
          <t>A = Absent</t>
        </is>
      </c>
      <c r="S3" s="33" t="inlineStr">
        <is>
          <t>C = Congé</t>
        </is>
      </c>
      <c r="X3" s="34" t="inlineStr">
        <is>
          <t>M = Malade</t>
        </is>
      </c>
    </row>
    <row r="5" ht="22" customHeight="1">
      <c r="A5" s="35" t="inlineStr">
        <is>
          <t>ID</t>
        </is>
      </c>
      <c r="B5" s="35" t="inlineStr">
        <is>
          <t>Nom</t>
        </is>
      </c>
      <c r="C5" s="35" t="inlineStr">
        <is>
          <t>Poste</t>
        </is>
      </c>
      <c r="D5" s="35">
        <f>IF(MONTH(DATE('Paramètres'!$B$5,10,1))=10,1,"")</f>
        <v/>
      </c>
      <c r="E5" s="35">
        <f>IF(MONTH(DATE('Paramètres'!$B$5,10,2))=10,2,"")</f>
        <v/>
      </c>
      <c r="F5" s="35">
        <f>IF(MONTH(DATE('Paramètres'!$B$5,10,3))=10,3,"")</f>
        <v/>
      </c>
      <c r="G5" s="35">
        <f>IF(MONTH(DATE('Paramètres'!$B$5,10,4))=10,4,"")</f>
        <v/>
      </c>
      <c r="H5" s="35">
        <f>IF(MONTH(DATE('Paramètres'!$B$5,10,5))=10,5,"")</f>
        <v/>
      </c>
      <c r="I5" s="35">
        <f>IF(MONTH(DATE('Paramètres'!$B$5,10,6))=10,6,"")</f>
        <v/>
      </c>
      <c r="J5" s="35">
        <f>IF(MONTH(DATE('Paramètres'!$B$5,10,7))=10,7,"")</f>
        <v/>
      </c>
      <c r="K5" s="35">
        <f>IF(MONTH(DATE('Paramètres'!$B$5,10,8))=10,8,"")</f>
        <v/>
      </c>
      <c r="L5" s="35">
        <f>IF(MONTH(DATE('Paramètres'!$B$5,10,9))=10,9,"")</f>
        <v/>
      </c>
      <c r="M5" s="35">
        <f>IF(MONTH(DATE('Paramètres'!$B$5,10,10))=10,10,"")</f>
        <v/>
      </c>
      <c r="N5" s="35">
        <f>IF(MONTH(DATE('Paramètres'!$B$5,10,11))=10,11,"")</f>
        <v/>
      </c>
      <c r="O5" s="35">
        <f>IF(MONTH(DATE('Paramètres'!$B$5,10,12))=10,12,"")</f>
        <v/>
      </c>
      <c r="P5" s="35">
        <f>IF(MONTH(DATE('Paramètres'!$B$5,10,13))=10,13,"")</f>
        <v/>
      </c>
      <c r="Q5" s="35">
        <f>IF(MONTH(DATE('Paramètres'!$B$5,10,14))=10,14,"")</f>
        <v/>
      </c>
      <c r="R5" s="35">
        <f>IF(MONTH(DATE('Paramètres'!$B$5,10,15))=10,15,"")</f>
        <v/>
      </c>
      <c r="S5" s="35">
        <f>IF(MONTH(DATE('Paramètres'!$B$5,10,16))=10,16,"")</f>
        <v/>
      </c>
      <c r="T5" s="35">
        <f>IF(MONTH(DATE('Paramètres'!$B$5,10,17))=10,17,"")</f>
        <v/>
      </c>
      <c r="U5" s="35">
        <f>IF(MONTH(DATE('Paramètres'!$B$5,10,18))=10,18,"")</f>
        <v/>
      </c>
      <c r="V5" s="35">
        <f>IF(MONTH(DATE('Paramètres'!$B$5,10,19))=10,19,"")</f>
        <v/>
      </c>
      <c r="W5" s="35">
        <f>IF(MONTH(DATE('Paramètres'!$B$5,10,20))=10,20,"")</f>
        <v/>
      </c>
      <c r="X5" s="35">
        <f>IF(MONTH(DATE('Paramètres'!$B$5,10,21))=10,21,"")</f>
        <v/>
      </c>
      <c r="Y5" s="35">
        <f>IF(MONTH(DATE('Paramètres'!$B$5,10,22))=10,22,"")</f>
        <v/>
      </c>
      <c r="Z5" s="35">
        <f>IF(MONTH(DATE('Paramètres'!$B$5,10,23))=10,23,"")</f>
        <v/>
      </c>
      <c r="AA5" s="35">
        <f>IF(MONTH(DATE('Paramètres'!$B$5,10,24))=10,24,"")</f>
        <v/>
      </c>
      <c r="AB5" s="35">
        <f>IF(MONTH(DATE('Paramètres'!$B$5,10,25))=10,25,"")</f>
        <v/>
      </c>
      <c r="AC5" s="35">
        <f>IF(MONTH(DATE('Paramètres'!$B$5,10,26))=10,26,"")</f>
        <v/>
      </c>
      <c r="AD5" s="35">
        <f>IF(MONTH(DATE('Paramètres'!$B$5,10,27))=10,27,"")</f>
        <v/>
      </c>
      <c r="AE5" s="35">
        <f>IF(MONTH(DATE('Paramètres'!$B$5,10,28))=10,28,"")</f>
        <v/>
      </c>
      <c r="AF5" s="35">
        <f>IF(MONTH(DATE('Paramètres'!$B$5,10,29))=10,29,"")</f>
        <v/>
      </c>
      <c r="AG5" s="35">
        <f>IF(MONTH(DATE('Paramètres'!$B$5,10,30))=10,30,"")</f>
        <v/>
      </c>
      <c r="AH5" s="35">
        <f>IF(MONTH(DATE('Paramètres'!$B$5,10,31))=10,31,"")</f>
        <v/>
      </c>
      <c r="AI5" s="36" t="inlineStr">
        <is>
          <t>Présent</t>
        </is>
      </c>
      <c r="AJ5" s="36" t="inlineStr">
        <is>
          <t>Retard</t>
        </is>
      </c>
      <c r="AK5" s="36" t="inlineStr">
        <is>
          <t>Absent</t>
        </is>
      </c>
      <c r="AL5" s="36" t="inlineStr">
        <is>
          <t>Congé</t>
        </is>
      </c>
      <c r="AM5" s="36" t="inlineStr">
        <is>
          <t>Malade</t>
        </is>
      </c>
      <c r="AN5" s="36" t="inlineStr">
        <is>
          <t>Taux de présence</t>
        </is>
      </c>
      <c r="AO5" s="36" t="inlineStr">
        <is>
          <t>Salaire dû</t>
        </is>
      </c>
    </row>
    <row r="6" ht="22" customHeight="1">
      <c r="A6" s="35" t="n"/>
      <c r="B6" s="35" t="n"/>
      <c r="C6" s="35" t="n"/>
      <c r="D6" s="35">
        <f>IF(D5="","",CHOOSE(WEEKDAY(DATE('Paramètres'!$B$5,10,1),2),"Lun","Mar","Mer","Jeu","Ven","Sam","Dim"))</f>
        <v/>
      </c>
      <c r="E6" s="35">
        <f>IF(E5="","",CHOOSE(WEEKDAY(DATE('Paramètres'!$B$5,10,2),2),"Lun","Mar","Mer","Jeu","Ven","Sam","Dim"))</f>
        <v/>
      </c>
      <c r="F6" s="35">
        <f>IF(F5="","",CHOOSE(WEEKDAY(DATE('Paramètres'!$B$5,10,3),2),"Lun","Mar","Mer","Jeu","Ven","Sam","Dim"))</f>
        <v/>
      </c>
      <c r="G6" s="35">
        <f>IF(G5="","",CHOOSE(WEEKDAY(DATE('Paramètres'!$B$5,10,4),2),"Lun","Mar","Mer","Jeu","Ven","Sam","Dim"))</f>
        <v/>
      </c>
      <c r="H6" s="35">
        <f>IF(H5="","",CHOOSE(WEEKDAY(DATE('Paramètres'!$B$5,10,5),2),"Lun","Mar","Mer","Jeu","Ven","Sam","Dim"))</f>
        <v/>
      </c>
      <c r="I6" s="35">
        <f>IF(I5="","",CHOOSE(WEEKDAY(DATE('Paramètres'!$B$5,10,6),2),"Lun","Mar","Mer","Jeu","Ven","Sam","Dim"))</f>
        <v/>
      </c>
      <c r="J6" s="35">
        <f>IF(J5="","",CHOOSE(WEEKDAY(DATE('Paramètres'!$B$5,10,7),2),"Lun","Mar","Mer","Jeu","Ven","Sam","Dim"))</f>
        <v/>
      </c>
      <c r="K6" s="35">
        <f>IF(K5="","",CHOOSE(WEEKDAY(DATE('Paramètres'!$B$5,10,8),2),"Lun","Mar","Mer","Jeu","Ven","Sam","Dim"))</f>
        <v/>
      </c>
      <c r="L6" s="35">
        <f>IF(L5="","",CHOOSE(WEEKDAY(DATE('Paramètres'!$B$5,10,9),2),"Lun","Mar","Mer","Jeu","Ven","Sam","Dim"))</f>
        <v/>
      </c>
      <c r="M6" s="35">
        <f>IF(M5="","",CHOOSE(WEEKDAY(DATE('Paramètres'!$B$5,10,10),2),"Lun","Mar","Mer","Jeu","Ven","Sam","Dim"))</f>
        <v/>
      </c>
      <c r="N6" s="35">
        <f>IF(N5="","",CHOOSE(WEEKDAY(DATE('Paramètres'!$B$5,10,11),2),"Lun","Mar","Mer","Jeu","Ven","Sam","Dim"))</f>
        <v/>
      </c>
      <c r="O6" s="35">
        <f>IF(O5="","",CHOOSE(WEEKDAY(DATE('Paramètres'!$B$5,10,12),2),"Lun","Mar","Mer","Jeu","Ven","Sam","Dim"))</f>
        <v/>
      </c>
      <c r="P6" s="35">
        <f>IF(P5="","",CHOOSE(WEEKDAY(DATE('Paramètres'!$B$5,10,13),2),"Lun","Mar","Mer","Jeu","Ven","Sam","Dim"))</f>
        <v/>
      </c>
      <c r="Q6" s="35">
        <f>IF(Q5="","",CHOOSE(WEEKDAY(DATE('Paramètres'!$B$5,10,14),2),"Lun","Mar","Mer","Jeu","Ven","Sam","Dim"))</f>
        <v/>
      </c>
      <c r="R6" s="35">
        <f>IF(R5="","",CHOOSE(WEEKDAY(DATE('Paramètres'!$B$5,10,15),2),"Lun","Mar","Mer","Jeu","Ven","Sam","Dim"))</f>
        <v/>
      </c>
      <c r="S6" s="35">
        <f>IF(S5="","",CHOOSE(WEEKDAY(DATE('Paramètres'!$B$5,10,16),2),"Lun","Mar","Mer","Jeu","Ven","Sam","Dim"))</f>
        <v/>
      </c>
      <c r="T6" s="35">
        <f>IF(T5="","",CHOOSE(WEEKDAY(DATE('Paramètres'!$B$5,10,17),2),"Lun","Mar","Mer","Jeu","Ven","Sam","Dim"))</f>
        <v/>
      </c>
      <c r="U6" s="35">
        <f>IF(U5="","",CHOOSE(WEEKDAY(DATE('Paramètres'!$B$5,10,18),2),"Lun","Mar","Mer","Jeu","Ven","Sam","Dim"))</f>
        <v/>
      </c>
      <c r="V6" s="35">
        <f>IF(V5="","",CHOOSE(WEEKDAY(DATE('Paramètres'!$B$5,10,19),2),"Lun","Mar","Mer","Jeu","Ven","Sam","Dim"))</f>
        <v/>
      </c>
      <c r="W6" s="35">
        <f>IF(W5="","",CHOOSE(WEEKDAY(DATE('Paramètres'!$B$5,10,20),2),"Lun","Mar","Mer","Jeu","Ven","Sam","Dim"))</f>
        <v/>
      </c>
      <c r="X6" s="35">
        <f>IF(X5="","",CHOOSE(WEEKDAY(DATE('Paramètres'!$B$5,10,21),2),"Lun","Mar","Mer","Jeu","Ven","Sam","Dim"))</f>
        <v/>
      </c>
      <c r="Y6" s="35">
        <f>IF(Y5="","",CHOOSE(WEEKDAY(DATE('Paramètres'!$B$5,10,22),2),"Lun","Mar","Mer","Jeu","Ven","Sam","Dim"))</f>
        <v/>
      </c>
      <c r="Z6" s="35">
        <f>IF(Z5="","",CHOOSE(WEEKDAY(DATE('Paramètres'!$B$5,10,23),2),"Lun","Mar","Mer","Jeu","Ven","Sam","Dim"))</f>
        <v/>
      </c>
      <c r="AA6" s="35">
        <f>IF(AA5="","",CHOOSE(WEEKDAY(DATE('Paramètres'!$B$5,10,24),2),"Lun","Mar","Mer","Jeu","Ven","Sam","Dim"))</f>
        <v/>
      </c>
      <c r="AB6" s="35">
        <f>IF(AB5="","",CHOOSE(WEEKDAY(DATE('Paramètres'!$B$5,10,25),2),"Lun","Mar","Mer","Jeu","Ven","Sam","Dim"))</f>
        <v/>
      </c>
      <c r="AC6" s="35">
        <f>IF(AC5="","",CHOOSE(WEEKDAY(DATE('Paramètres'!$B$5,10,26),2),"Lun","Mar","Mer","Jeu","Ven","Sam","Dim"))</f>
        <v/>
      </c>
      <c r="AD6" s="35">
        <f>IF(AD5="","",CHOOSE(WEEKDAY(DATE('Paramètres'!$B$5,10,27),2),"Lun","Mar","Mer","Jeu","Ven","Sam","Dim"))</f>
        <v/>
      </c>
      <c r="AE6" s="35">
        <f>IF(AE5="","",CHOOSE(WEEKDAY(DATE('Paramètres'!$B$5,10,28),2),"Lun","Mar","Mer","Jeu","Ven","Sam","Dim"))</f>
        <v/>
      </c>
      <c r="AF6" s="35">
        <f>IF(AF5="","",CHOOSE(WEEKDAY(DATE('Paramètres'!$B$5,10,29),2),"Lun","Mar","Mer","Jeu","Ven","Sam","Dim"))</f>
        <v/>
      </c>
      <c r="AG6" s="35">
        <f>IF(AG5="","",CHOOSE(WEEKDAY(DATE('Paramètres'!$B$5,10,30),2),"Lun","Mar","Mer","Jeu","Ven","Sam","Dim"))</f>
        <v/>
      </c>
      <c r="AH6" s="35">
        <f>IF(AH5="","",CHOOSE(WEEKDAY(DATE('Paramètres'!$B$5,10,31),2),"Lun","Mar","Mer","Jeu","Ven","Sam","Dim"))</f>
        <v/>
      </c>
      <c r="AI6" s="36" t="n"/>
      <c r="AJ6" s="36" t="n"/>
      <c r="AK6" s="36" t="n"/>
      <c r="AL6" s="36" t="n"/>
      <c r="AM6" s="36" t="n"/>
      <c r="AN6" s="36" t="n"/>
      <c r="AO6" s="36" t="n"/>
    </row>
    <row r="7" ht="20" customHeight="1">
      <c r="A7" s="37">
        <f>IF('Employés'!B5="","",'Employés'!A5)</f>
        <v/>
      </c>
      <c r="B7" s="38">
        <f>IF('Employés'!B5="","",'Employés'!B5)</f>
        <v/>
      </c>
      <c r="C7" s="38">
        <f>IF('Employés'!C5="","",'Employés'!C5)</f>
        <v/>
      </c>
      <c r="D7" s="37" t="n"/>
      <c r="E7" s="37" t="n"/>
      <c r="F7" s="37" t="n"/>
      <c r="G7" s="37" t="n"/>
      <c r="H7" s="37" t="n"/>
      <c r="I7" s="37" t="n"/>
      <c r="J7" s="37" t="n"/>
      <c r="K7" s="37" t="n"/>
      <c r="L7" s="37" t="n"/>
      <c r="M7" s="37" t="n"/>
      <c r="N7" s="37" t="n"/>
      <c r="O7" s="37" t="n"/>
      <c r="P7" s="37" t="n"/>
      <c r="Q7" s="37" t="n"/>
      <c r="R7" s="37" t="n"/>
      <c r="S7" s="37" t="n"/>
      <c r="T7" s="37" t="n"/>
      <c r="U7" s="37" t="n"/>
      <c r="V7" s="37" t="n"/>
      <c r="W7" s="37" t="n"/>
      <c r="X7" s="37" t="n"/>
      <c r="Y7" s="37" t="n"/>
      <c r="Z7" s="37" t="n"/>
      <c r="AA7" s="37" t="n"/>
      <c r="AB7" s="37" t="n"/>
      <c r="AC7" s="37" t="n"/>
      <c r="AD7" s="37" t="n"/>
      <c r="AE7" s="37" t="n"/>
      <c r="AF7" s="37" t="n"/>
      <c r="AG7" s="37" t="n"/>
      <c r="AH7" s="37" t="n"/>
      <c r="AI7" s="39">
        <f>IF($B7="","",COUNTIF(D7:AH7,"P"))</f>
        <v/>
      </c>
      <c r="AJ7" s="39">
        <f>IF($B7="","",COUNTIF(D7:AH7,"R"))</f>
        <v/>
      </c>
      <c r="AK7" s="39">
        <f>IF($B7="","",COUNTIF(D7:AH7,"A"))</f>
        <v/>
      </c>
      <c r="AL7" s="39">
        <f>IF($B7="","",COUNTIF(D7:AH7,"C"))</f>
        <v/>
      </c>
      <c r="AM7" s="39">
        <f>IF($B7="","",COUNTIF(D7:AH7,"M"))</f>
        <v/>
      </c>
      <c r="AN7" s="40">
        <f>IF($B7="","",IF(AI7+AJ7+AK7+AM7=0,"",(AI7+AJ7)/(AI7+AJ7+AK7+AM7)))</f>
        <v/>
      </c>
      <c r="AO7" s="41">
        <f>IF($B7="","",IF('Employés'!D5="","",(AI7+AJ7+AL7)*'Employés'!D5))</f>
        <v/>
      </c>
    </row>
    <row r="8" ht="20" customHeight="1">
      <c r="A8" s="37">
        <f>IF('Employés'!B6="","",'Employés'!A6)</f>
        <v/>
      </c>
      <c r="B8" s="38">
        <f>IF('Employés'!B6="","",'Employés'!B6)</f>
        <v/>
      </c>
      <c r="C8" s="38">
        <f>IF('Employés'!C6="","",'Employés'!C6)</f>
        <v/>
      </c>
      <c r="D8" s="37" t="n"/>
      <c r="E8" s="37" t="n"/>
      <c r="F8" s="37" t="n"/>
      <c r="G8" s="37" t="n"/>
      <c r="H8" s="37" t="n"/>
      <c r="I8" s="37" t="n"/>
      <c r="J8" s="37" t="n"/>
      <c r="K8" s="37" t="n"/>
      <c r="L8" s="37" t="n"/>
      <c r="M8" s="37" t="n"/>
      <c r="N8" s="37" t="n"/>
      <c r="O8" s="37" t="n"/>
      <c r="P8" s="37" t="n"/>
      <c r="Q8" s="37" t="n"/>
      <c r="R8" s="37" t="n"/>
      <c r="S8" s="37" t="n"/>
      <c r="T8" s="37" t="n"/>
      <c r="U8" s="37" t="n"/>
      <c r="V8" s="37" t="n"/>
      <c r="W8" s="37" t="n"/>
      <c r="X8" s="37" t="n"/>
      <c r="Y8" s="37" t="n"/>
      <c r="Z8" s="37" t="n"/>
      <c r="AA8" s="37" t="n"/>
      <c r="AB8" s="37" t="n"/>
      <c r="AC8" s="37" t="n"/>
      <c r="AD8" s="37" t="n"/>
      <c r="AE8" s="37" t="n"/>
      <c r="AF8" s="37" t="n"/>
      <c r="AG8" s="37" t="n"/>
      <c r="AH8" s="37" t="n"/>
      <c r="AI8" s="39">
        <f>IF($B8="","",COUNTIF(D8:AH8,"P"))</f>
        <v/>
      </c>
      <c r="AJ8" s="39">
        <f>IF($B8="","",COUNTIF(D8:AH8,"R"))</f>
        <v/>
      </c>
      <c r="AK8" s="39">
        <f>IF($B8="","",COUNTIF(D8:AH8,"A"))</f>
        <v/>
      </c>
      <c r="AL8" s="39">
        <f>IF($B8="","",COUNTIF(D8:AH8,"C"))</f>
        <v/>
      </c>
      <c r="AM8" s="39">
        <f>IF($B8="","",COUNTIF(D8:AH8,"M"))</f>
        <v/>
      </c>
      <c r="AN8" s="40">
        <f>IF($B8="","",IF(AI8+AJ8+AK8+AM8=0,"",(AI8+AJ8)/(AI8+AJ8+AK8+AM8)))</f>
        <v/>
      </c>
      <c r="AO8" s="41">
        <f>IF($B8="","",IF('Employés'!D6="","",(AI8+AJ8+AL8)*'Employés'!D6))</f>
        <v/>
      </c>
    </row>
    <row r="9" ht="20" customHeight="1">
      <c r="A9" s="37">
        <f>IF('Employés'!B7="","",'Employés'!A7)</f>
        <v/>
      </c>
      <c r="B9" s="38">
        <f>IF('Employés'!B7="","",'Employés'!B7)</f>
        <v/>
      </c>
      <c r="C9" s="38">
        <f>IF('Employés'!C7="","",'Employés'!C7)</f>
        <v/>
      </c>
      <c r="D9" s="37" t="n"/>
      <c r="E9" s="37" t="n"/>
      <c r="F9" s="37" t="n"/>
      <c r="G9" s="37" t="n"/>
      <c r="H9" s="37" t="n"/>
      <c r="I9" s="37" t="n"/>
      <c r="J9" s="37" t="n"/>
      <c r="K9" s="37" t="n"/>
      <c r="L9" s="37" t="n"/>
      <c r="M9" s="37" t="n"/>
      <c r="N9" s="37" t="n"/>
      <c r="O9" s="37" t="n"/>
      <c r="P9" s="37" t="n"/>
      <c r="Q9" s="37" t="n"/>
      <c r="R9" s="37" t="n"/>
      <c r="S9" s="37" t="n"/>
      <c r="T9" s="37" t="n"/>
      <c r="U9" s="37" t="n"/>
      <c r="V9" s="37" t="n"/>
      <c r="W9" s="37" t="n"/>
      <c r="X9" s="37" t="n"/>
      <c r="Y9" s="37" t="n"/>
      <c r="Z9" s="37" t="n"/>
      <c r="AA9" s="37" t="n"/>
      <c r="AB9" s="37" t="n"/>
      <c r="AC9" s="37" t="n"/>
      <c r="AD9" s="37" t="n"/>
      <c r="AE9" s="37" t="n"/>
      <c r="AF9" s="37" t="n"/>
      <c r="AG9" s="37" t="n"/>
      <c r="AH9" s="37" t="n"/>
      <c r="AI9" s="39">
        <f>IF($B9="","",COUNTIF(D9:AH9,"P"))</f>
        <v/>
      </c>
      <c r="AJ9" s="39">
        <f>IF($B9="","",COUNTIF(D9:AH9,"R"))</f>
        <v/>
      </c>
      <c r="AK9" s="39">
        <f>IF($B9="","",COUNTIF(D9:AH9,"A"))</f>
        <v/>
      </c>
      <c r="AL9" s="39">
        <f>IF($B9="","",COUNTIF(D9:AH9,"C"))</f>
        <v/>
      </c>
      <c r="AM9" s="39">
        <f>IF($B9="","",COUNTIF(D9:AH9,"M"))</f>
        <v/>
      </c>
      <c r="AN9" s="40">
        <f>IF($B9="","",IF(AI9+AJ9+AK9+AM9=0,"",(AI9+AJ9)/(AI9+AJ9+AK9+AM9)))</f>
        <v/>
      </c>
      <c r="AO9" s="41">
        <f>IF($B9="","",IF('Employés'!D7="","",(AI9+AJ9+AL9)*'Employés'!D7))</f>
        <v/>
      </c>
    </row>
    <row r="10" ht="20" customHeight="1">
      <c r="A10" s="37">
        <f>IF('Employés'!B8="","",'Employés'!A8)</f>
        <v/>
      </c>
      <c r="B10" s="38">
        <f>IF('Employés'!B8="","",'Employés'!B8)</f>
        <v/>
      </c>
      <c r="C10" s="38">
        <f>IF('Employés'!C8="","",'Employés'!C8)</f>
        <v/>
      </c>
      <c r="D10" s="37" t="n"/>
      <c r="E10" s="37" t="n"/>
      <c r="F10" s="37" t="n"/>
      <c r="G10" s="37" t="n"/>
      <c r="H10" s="37" t="n"/>
      <c r="I10" s="37" t="n"/>
      <c r="J10" s="37" t="n"/>
      <c r="K10" s="37" t="n"/>
      <c r="L10" s="37" t="n"/>
      <c r="M10" s="37" t="n"/>
      <c r="N10" s="37" t="n"/>
      <c r="O10" s="37" t="n"/>
      <c r="P10" s="37" t="n"/>
      <c r="Q10" s="37" t="n"/>
      <c r="R10" s="37" t="n"/>
      <c r="S10" s="37" t="n"/>
      <c r="T10" s="37" t="n"/>
      <c r="U10" s="37" t="n"/>
      <c r="V10" s="37" t="n"/>
      <c r="W10" s="37" t="n"/>
      <c r="X10" s="37" t="n"/>
      <c r="Y10" s="37" t="n"/>
      <c r="Z10" s="37" t="n"/>
      <c r="AA10" s="37" t="n"/>
      <c r="AB10" s="37" t="n"/>
      <c r="AC10" s="37" t="n"/>
      <c r="AD10" s="37" t="n"/>
      <c r="AE10" s="37" t="n"/>
      <c r="AF10" s="37" t="n"/>
      <c r="AG10" s="37" t="n"/>
      <c r="AH10" s="37" t="n"/>
      <c r="AI10" s="39">
        <f>IF($B10="","",COUNTIF(D10:AH10,"P"))</f>
        <v/>
      </c>
      <c r="AJ10" s="39">
        <f>IF($B10="","",COUNTIF(D10:AH10,"R"))</f>
        <v/>
      </c>
      <c r="AK10" s="39">
        <f>IF($B10="","",COUNTIF(D10:AH10,"A"))</f>
        <v/>
      </c>
      <c r="AL10" s="39">
        <f>IF($B10="","",COUNTIF(D10:AH10,"C"))</f>
        <v/>
      </c>
      <c r="AM10" s="39">
        <f>IF($B10="","",COUNTIF(D10:AH10,"M"))</f>
        <v/>
      </c>
      <c r="AN10" s="40">
        <f>IF($B10="","",IF(AI10+AJ10+AK10+AM10=0,"",(AI10+AJ10)/(AI10+AJ10+AK10+AM10)))</f>
        <v/>
      </c>
      <c r="AO10" s="41">
        <f>IF($B10="","",IF('Employés'!D8="","",(AI10+AJ10+AL10)*'Employés'!D8))</f>
        <v/>
      </c>
    </row>
    <row r="11" ht="20" customHeight="1">
      <c r="A11" s="37">
        <f>IF('Employés'!B9="","",'Employés'!A9)</f>
        <v/>
      </c>
      <c r="B11" s="38">
        <f>IF('Employés'!B9="","",'Employés'!B9)</f>
        <v/>
      </c>
      <c r="C11" s="38">
        <f>IF('Employés'!C9="","",'Employés'!C9)</f>
        <v/>
      </c>
      <c r="D11" s="37" t="n"/>
      <c r="E11" s="37" t="n"/>
      <c r="F11" s="37" t="n"/>
      <c r="G11" s="37" t="n"/>
      <c r="H11" s="37" t="n"/>
      <c r="I11" s="37" t="n"/>
      <c r="J11" s="37" t="n"/>
      <c r="K11" s="37" t="n"/>
      <c r="L11" s="37" t="n"/>
      <c r="M11" s="37" t="n"/>
      <c r="N11" s="37" t="n"/>
      <c r="O11" s="37" t="n"/>
      <c r="P11" s="37" t="n"/>
      <c r="Q11" s="37" t="n"/>
      <c r="R11" s="37" t="n"/>
      <c r="S11" s="37" t="n"/>
      <c r="T11" s="37" t="n"/>
      <c r="U11" s="37" t="n"/>
      <c r="V11" s="37" t="n"/>
      <c r="W11" s="37" t="n"/>
      <c r="X11" s="37" t="n"/>
      <c r="Y11" s="37" t="n"/>
      <c r="Z11" s="37" t="n"/>
      <c r="AA11" s="37" t="n"/>
      <c r="AB11" s="37" t="n"/>
      <c r="AC11" s="37" t="n"/>
      <c r="AD11" s="37" t="n"/>
      <c r="AE11" s="37" t="n"/>
      <c r="AF11" s="37" t="n"/>
      <c r="AG11" s="37" t="n"/>
      <c r="AH11" s="37" t="n"/>
      <c r="AI11" s="39">
        <f>IF($B11="","",COUNTIF(D11:AH11,"P"))</f>
        <v/>
      </c>
      <c r="AJ11" s="39">
        <f>IF($B11="","",COUNTIF(D11:AH11,"R"))</f>
        <v/>
      </c>
      <c r="AK11" s="39">
        <f>IF($B11="","",COUNTIF(D11:AH11,"A"))</f>
        <v/>
      </c>
      <c r="AL11" s="39">
        <f>IF($B11="","",COUNTIF(D11:AH11,"C"))</f>
        <v/>
      </c>
      <c r="AM11" s="39">
        <f>IF($B11="","",COUNTIF(D11:AH11,"M"))</f>
        <v/>
      </c>
      <c r="AN11" s="40">
        <f>IF($B11="","",IF(AI11+AJ11+AK11+AM11=0,"",(AI11+AJ11)/(AI11+AJ11+AK11+AM11)))</f>
        <v/>
      </c>
      <c r="AO11" s="41">
        <f>IF($B11="","",IF('Employés'!D9="","",(AI11+AJ11+AL11)*'Employés'!D9))</f>
        <v/>
      </c>
    </row>
    <row r="12" ht="20" customHeight="1">
      <c r="A12" s="37">
        <f>IF('Employés'!B10="","",'Employés'!A10)</f>
        <v/>
      </c>
      <c r="B12" s="38">
        <f>IF('Employés'!B10="","",'Employés'!B10)</f>
        <v/>
      </c>
      <c r="C12" s="38">
        <f>IF('Employés'!C10="","",'Employés'!C10)</f>
        <v/>
      </c>
      <c r="D12" s="37" t="n"/>
      <c r="E12" s="37" t="n"/>
      <c r="F12" s="37" t="n"/>
      <c r="G12" s="37" t="n"/>
      <c r="H12" s="37" t="n"/>
      <c r="I12" s="37" t="n"/>
      <c r="J12" s="37" t="n"/>
      <c r="K12" s="37" t="n"/>
      <c r="L12" s="37" t="n"/>
      <c r="M12" s="37" t="n"/>
      <c r="N12" s="37" t="n"/>
      <c r="O12" s="37" t="n"/>
      <c r="P12" s="37" t="n"/>
      <c r="Q12" s="37" t="n"/>
      <c r="R12" s="37" t="n"/>
      <c r="S12" s="37" t="n"/>
      <c r="T12" s="37" t="n"/>
      <c r="U12" s="37" t="n"/>
      <c r="V12" s="37" t="n"/>
      <c r="W12" s="37" t="n"/>
      <c r="X12" s="37" t="n"/>
      <c r="Y12" s="37" t="n"/>
      <c r="Z12" s="37" t="n"/>
      <c r="AA12" s="37" t="n"/>
      <c r="AB12" s="37" t="n"/>
      <c r="AC12" s="37" t="n"/>
      <c r="AD12" s="37" t="n"/>
      <c r="AE12" s="37" t="n"/>
      <c r="AF12" s="37" t="n"/>
      <c r="AG12" s="37" t="n"/>
      <c r="AH12" s="37" t="n"/>
      <c r="AI12" s="39">
        <f>IF($B12="","",COUNTIF(D12:AH12,"P"))</f>
        <v/>
      </c>
      <c r="AJ12" s="39">
        <f>IF($B12="","",COUNTIF(D12:AH12,"R"))</f>
        <v/>
      </c>
      <c r="AK12" s="39">
        <f>IF($B12="","",COUNTIF(D12:AH12,"A"))</f>
        <v/>
      </c>
      <c r="AL12" s="39">
        <f>IF($B12="","",COUNTIF(D12:AH12,"C"))</f>
        <v/>
      </c>
      <c r="AM12" s="39">
        <f>IF($B12="","",COUNTIF(D12:AH12,"M"))</f>
        <v/>
      </c>
      <c r="AN12" s="40">
        <f>IF($B12="","",IF(AI12+AJ12+AK12+AM12=0,"",(AI12+AJ12)/(AI12+AJ12+AK12+AM12)))</f>
        <v/>
      </c>
      <c r="AO12" s="41">
        <f>IF($B12="","",IF('Employés'!D10="","",(AI12+AJ12+AL12)*'Employés'!D10))</f>
        <v/>
      </c>
    </row>
    <row r="13" ht="20" customHeight="1">
      <c r="A13" s="37">
        <f>IF('Employés'!B11="","",'Employés'!A11)</f>
        <v/>
      </c>
      <c r="B13" s="38">
        <f>IF('Employés'!B11="","",'Employés'!B11)</f>
        <v/>
      </c>
      <c r="C13" s="38">
        <f>IF('Employés'!C11="","",'Employés'!C11)</f>
        <v/>
      </c>
      <c r="D13" s="37" t="n"/>
      <c r="E13" s="37" t="n"/>
      <c r="F13" s="37" t="n"/>
      <c r="G13" s="37" t="n"/>
      <c r="H13" s="37" t="n"/>
      <c r="I13" s="37" t="n"/>
      <c r="J13" s="37" t="n"/>
      <c r="K13" s="37" t="n"/>
      <c r="L13" s="37" t="n"/>
      <c r="M13" s="37" t="n"/>
      <c r="N13" s="37" t="n"/>
      <c r="O13" s="37" t="n"/>
      <c r="P13" s="37" t="n"/>
      <c r="Q13" s="37" t="n"/>
      <c r="R13" s="37" t="n"/>
      <c r="S13" s="37" t="n"/>
      <c r="T13" s="37" t="n"/>
      <c r="U13" s="37" t="n"/>
      <c r="V13" s="37" t="n"/>
      <c r="W13" s="37" t="n"/>
      <c r="X13" s="37" t="n"/>
      <c r="Y13" s="37" t="n"/>
      <c r="Z13" s="37" t="n"/>
      <c r="AA13" s="37" t="n"/>
      <c r="AB13" s="37" t="n"/>
      <c r="AC13" s="37" t="n"/>
      <c r="AD13" s="37" t="n"/>
      <c r="AE13" s="37" t="n"/>
      <c r="AF13" s="37" t="n"/>
      <c r="AG13" s="37" t="n"/>
      <c r="AH13" s="37" t="n"/>
      <c r="AI13" s="39">
        <f>IF($B13="","",COUNTIF(D13:AH13,"P"))</f>
        <v/>
      </c>
      <c r="AJ13" s="39">
        <f>IF($B13="","",COUNTIF(D13:AH13,"R"))</f>
        <v/>
      </c>
      <c r="AK13" s="39">
        <f>IF($B13="","",COUNTIF(D13:AH13,"A"))</f>
        <v/>
      </c>
      <c r="AL13" s="39">
        <f>IF($B13="","",COUNTIF(D13:AH13,"C"))</f>
        <v/>
      </c>
      <c r="AM13" s="39">
        <f>IF($B13="","",COUNTIF(D13:AH13,"M"))</f>
        <v/>
      </c>
      <c r="AN13" s="40">
        <f>IF($B13="","",IF(AI13+AJ13+AK13+AM13=0,"",(AI13+AJ13)/(AI13+AJ13+AK13+AM13)))</f>
        <v/>
      </c>
      <c r="AO13" s="41">
        <f>IF($B13="","",IF('Employés'!D11="","",(AI13+AJ13+AL13)*'Employés'!D11))</f>
        <v/>
      </c>
    </row>
    <row r="14" ht="20" customHeight="1">
      <c r="A14" s="37">
        <f>IF('Employés'!B12="","",'Employés'!A12)</f>
        <v/>
      </c>
      <c r="B14" s="38">
        <f>IF('Employés'!B12="","",'Employés'!B12)</f>
        <v/>
      </c>
      <c r="C14" s="38">
        <f>IF('Employés'!C12="","",'Employés'!C12)</f>
        <v/>
      </c>
      <c r="D14" s="37" t="n"/>
      <c r="E14" s="37" t="n"/>
      <c r="F14" s="37" t="n"/>
      <c r="G14" s="37" t="n"/>
      <c r="H14" s="37" t="n"/>
      <c r="I14" s="37" t="n"/>
      <c r="J14" s="37" t="n"/>
      <c r="K14" s="37" t="n"/>
      <c r="L14" s="37" t="n"/>
      <c r="M14" s="37" t="n"/>
      <c r="N14" s="37" t="n"/>
      <c r="O14" s="37" t="n"/>
      <c r="P14" s="37" t="n"/>
      <c r="Q14" s="37" t="n"/>
      <c r="R14" s="37" t="n"/>
      <c r="S14" s="37" t="n"/>
      <c r="T14" s="37" t="n"/>
      <c r="U14" s="37" t="n"/>
      <c r="V14" s="37" t="n"/>
      <c r="W14" s="37" t="n"/>
      <c r="X14" s="37" t="n"/>
      <c r="Y14" s="37" t="n"/>
      <c r="Z14" s="37" t="n"/>
      <c r="AA14" s="37" t="n"/>
      <c r="AB14" s="37" t="n"/>
      <c r="AC14" s="37" t="n"/>
      <c r="AD14" s="37" t="n"/>
      <c r="AE14" s="37" t="n"/>
      <c r="AF14" s="37" t="n"/>
      <c r="AG14" s="37" t="n"/>
      <c r="AH14" s="37" t="n"/>
      <c r="AI14" s="39">
        <f>IF($B14="","",COUNTIF(D14:AH14,"P"))</f>
        <v/>
      </c>
      <c r="AJ14" s="39">
        <f>IF($B14="","",COUNTIF(D14:AH14,"R"))</f>
        <v/>
      </c>
      <c r="AK14" s="39">
        <f>IF($B14="","",COUNTIF(D14:AH14,"A"))</f>
        <v/>
      </c>
      <c r="AL14" s="39">
        <f>IF($B14="","",COUNTIF(D14:AH14,"C"))</f>
        <v/>
      </c>
      <c r="AM14" s="39">
        <f>IF($B14="","",COUNTIF(D14:AH14,"M"))</f>
        <v/>
      </c>
      <c r="AN14" s="40">
        <f>IF($B14="","",IF(AI14+AJ14+AK14+AM14=0,"",(AI14+AJ14)/(AI14+AJ14+AK14+AM14)))</f>
        <v/>
      </c>
      <c r="AO14" s="41">
        <f>IF($B14="","",IF('Employés'!D12="","",(AI14+AJ14+AL14)*'Employés'!D12))</f>
        <v/>
      </c>
    </row>
    <row r="15" ht="20" customHeight="1">
      <c r="A15" s="37">
        <f>IF('Employés'!B13="","",'Employés'!A13)</f>
        <v/>
      </c>
      <c r="B15" s="38">
        <f>IF('Employés'!B13="","",'Employés'!B13)</f>
        <v/>
      </c>
      <c r="C15" s="38">
        <f>IF('Employés'!C13="","",'Employés'!C13)</f>
        <v/>
      </c>
      <c r="D15" s="37" t="n"/>
      <c r="E15" s="37" t="n"/>
      <c r="F15" s="37" t="n"/>
      <c r="G15" s="37" t="n"/>
      <c r="H15" s="37" t="n"/>
      <c r="I15" s="37" t="n"/>
      <c r="J15" s="37" t="n"/>
      <c r="K15" s="37" t="n"/>
      <c r="L15" s="37" t="n"/>
      <c r="M15" s="37" t="n"/>
      <c r="N15" s="37" t="n"/>
      <c r="O15" s="37" t="n"/>
      <c r="P15" s="37" t="n"/>
      <c r="Q15" s="37" t="n"/>
      <c r="R15" s="37" t="n"/>
      <c r="S15" s="37" t="n"/>
      <c r="T15" s="37" t="n"/>
      <c r="U15" s="37" t="n"/>
      <c r="V15" s="37" t="n"/>
      <c r="W15" s="37" t="n"/>
      <c r="X15" s="37" t="n"/>
      <c r="Y15" s="37" t="n"/>
      <c r="Z15" s="37" t="n"/>
      <c r="AA15" s="37" t="n"/>
      <c r="AB15" s="37" t="n"/>
      <c r="AC15" s="37" t="n"/>
      <c r="AD15" s="37" t="n"/>
      <c r="AE15" s="37" t="n"/>
      <c r="AF15" s="37" t="n"/>
      <c r="AG15" s="37" t="n"/>
      <c r="AH15" s="37" t="n"/>
      <c r="AI15" s="39">
        <f>IF($B15="","",COUNTIF(D15:AH15,"P"))</f>
        <v/>
      </c>
      <c r="AJ15" s="39">
        <f>IF($B15="","",COUNTIF(D15:AH15,"R"))</f>
        <v/>
      </c>
      <c r="AK15" s="39">
        <f>IF($B15="","",COUNTIF(D15:AH15,"A"))</f>
        <v/>
      </c>
      <c r="AL15" s="39">
        <f>IF($B15="","",COUNTIF(D15:AH15,"C"))</f>
        <v/>
      </c>
      <c r="AM15" s="39">
        <f>IF($B15="","",COUNTIF(D15:AH15,"M"))</f>
        <v/>
      </c>
      <c r="AN15" s="40">
        <f>IF($B15="","",IF(AI15+AJ15+AK15+AM15=0,"",(AI15+AJ15)/(AI15+AJ15+AK15+AM15)))</f>
        <v/>
      </c>
      <c r="AO15" s="41">
        <f>IF($B15="","",IF('Employés'!D13="","",(AI15+AJ15+AL15)*'Employés'!D13))</f>
        <v/>
      </c>
    </row>
    <row r="16" ht="20" customHeight="1">
      <c r="A16" s="37">
        <f>IF('Employés'!B14="","",'Employés'!A14)</f>
        <v/>
      </c>
      <c r="B16" s="38">
        <f>IF('Employés'!B14="","",'Employés'!B14)</f>
        <v/>
      </c>
      <c r="C16" s="38">
        <f>IF('Employés'!C14="","",'Employés'!C14)</f>
        <v/>
      </c>
      <c r="D16" s="37" t="n"/>
      <c r="E16" s="37" t="n"/>
      <c r="F16" s="37" t="n"/>
      <c r="G16" s="37" t="n"/>
      <c r="H16" s="37" t="n"/>
      <c r="I16" s="37" t="n"/>
      <c r="J16" s="37" t="n"/>
      <c r="K16" s="37" t="n"/>
      <c r="L16" s="37" t="n"/>
      <c r="M16" s="37" t="n"/>
      <c r="N16" s="37" t="n"/>
      <c r="O16" s="37" t="n"/>
      <c r="P16" s="37" t="n"/>
      <c r="Q16" s="37" t="n"/>
      <c r="R16" s="37" t="n"/>
      <c r="S16" s="37" t="n"/>
      <c r="T16" s="37" t="n"/>
      <c r="U16" s="37" t="n"/>
      <c r="V16" s="37" t="n"/>
      <c r="W16" s="37" t="n"/>
      <c r="X16" s="37" t="n"/>
      <c r="Y16" s="37" t="n"/>
      <c r="Z16" s="37" t="n"/>
      <c r="AA16" s="37" t="n"/>
      <c r="AB16" s="37" t="n"/>
      <c r="AC16" s="37" t="n"/>
      <c r="AD16" s="37" t="n"/>
      <c r="AE16" s="37" t="n"/>
      <c r="AF16" s="37" t="n"/>
      <c r="AG16" s="37" t="n"/>
      <c r="AH16" s="37" t="n"/>
      <c r="AI16" s="39">
        <f>IF($B16="","",COUNTIF(D16:AH16,"P"))</f>
        <v/>
      </c>
      <c r="AJ16" s="39">
        <f>IF($B16="","",COUNTIF(D16:AH16,"R"))</f>
        <v/>
      </c>
      <c r="AK16" s="39">
        <f>IF($B16="","",COUNTIF(D16:AH16,"A"))</f>
        <v/>
      </c>
      <c r="AL16" s="39">
        <f>IF($B16="","",COUNTIF(D16:AH16,"C"))</f>
        <v/>
      </c>
      <c r="AM16" s="39">
        <f>IF($B16="","",COUNTIF(D16:AH16,"M"))</f>
        <v/>
      </c>
      <c r="AN16" s="40">
        <f>IF($B16="","",IF(AI16+AJ16+AK16+AM16=0,"",(AI16+AJ16)/(AI16+AJ16+AK16+AM16)))</f>
        <v/>
      </c>
      <c r="AO16" s="41">
        <f>IF($B16="","",IF('Employés'!D14="","",(AI16+AJ16+AL16)*'Employés'!D14))</f>
        <v/>
      </c>
    </row>
    <row r="17" ht="20" customHeight="1">
      <c r="A17" s="37">
        <f>IF('Employés'!B15="","",'Employés'!A15)</f>
        <v/>
      </c>
      <c r="B17" s="38">
        <f>IF('Employés'!B15="","",'Employés'!B15)</f>
        <v/>
      </c>
      <c r="C17" s="38">
        <f>IF('Employés'!C15="","",'Employés'!C15)</f>
        <v/>
      </c>
      <c r="D17" s="37" t="n"/>
      <c r="E17" s="37" t="n"/>
      <c r="F17" s="37" t="n"/>
      <c r="G17" s="37" t="n"/>
      <c r="H17" s="37" t="n"/>
      <c r="I17" s="37" t="n"/>
      <c r="J17" s="37" t="n"/>
      <c r="K17" s="37" t="n"/>
      <c r="L17" s="37" t="n"/>
      <c r="M17" s="37" t="n"/>
      <c r="N17" s="37" t="n"/>
      <c r="O17" s="37" t="n"/>
      <c r="P17" s="37" t="n"/>
      <c r="Q17" s="37" t="n"/>
      <c r="R17" s="37" t="n"/>
      <c r="S17" s="37" t="n"/>
      <c r="T17" s="37" t="n"/>
      <c r="U17" s="37" t="n"/>
      <c r="V17" s="37" t="n"/>
      <c r="W17" s="37" t="n"/>
      <c r="X17" s="37" t="n"/>
      <c r="Y17" s="37" t="n"/>
      <c r="Z17" s="37" t="n"/>
      <c r="AA17" s="37" t="n"/>
      <c r="AB17" s="37" t="n"/>
      <c r="AC17" s="37" t="n"/>
      <c r="AD17" s="37" t="n"/>
      <c r="AE17" s="37" t="n"/>
      <c r="AF17" s="37" t="n"/>
      <c r="AG17" s="37" t="n"/>
      <c r="AH17" s="37" t="n"/>
      <c r="AI17" s="39">
        <f>IF($B17="","",COUNTIF(D17:AH17,"P"))</f>
        <v/>
      </c>
      <c r="AJ17" s="39">
        <f>IF($B17="","",COUNTIF(D17:AH17,"R"))</f>
        <v/>
      </c>
      <c r="AK17" s="39">
        <f>IF($B17="","",COUNTIF(D17:AH17,"A"))</f>
        <v/>
      </c>
      <c r="AL17" s="39">
        <f>IF($B17="","",COUNTIF(D17:AH17,"C"))</f>
        <v/>
      </c>
      <c r="AM17" s="39">
        <f>IF($B17="","",COUNTIF(D17:AH17,"M"))</f>
        <v/>
      </c>
      <c r="AN17" s="40">
        <f>IF($B17="","",IF(AI17+AJ17+AK17+AM17=0,"",(AI17+AJ17)/(AI17+AJ17+AK17+AM17)))</f>
        <v/>
      </c>
      <c r="AO17" s="41">
        <f>IF($B17="","",IF('Employés'!D15="","",(AI17+AJ17+AL17)*'Employés'!D15))</f>
        <v/>
      </c>
    </row>
    <row r="18" ht="20" customHeight="1">
      <c r="A18" s="37">
        <f>IF('Employés'!B16="","",'Employés'!A16)</f>
        <v/>
      </c>
      <c r="B18" s="38">
        <f>IF('Employés'!B16="","",'Employés'!B16)</f>
        <v/>
      </c>
      <c r="C18" s="38">
        <f>IF('Employés'!C16="","",'Employés'!C16)</f>
        <v/>
      </c>
      <c r="D18" s="37" t="n"/>
      <c r="E18" s="37" t="n"/>
      <c r="F18" s="37" t="n"/>
      <c r="G18" s="37" t="n"/>
      <c r="H18" s="37" t="n"/>
      <c r="I18" s="37" t="n"/>
      <c r="J18" s="37" t="n"/>
      <c r="K18" s="37" t="n"/>
      <c r="L18" s="37" t="n"/>
      <c r="M18" s="37" t="n"/>
      <c r="N18" s="37" t="n"/>
      <c r="O18" s="37" t="n"/>
      <c r="P18" s="37" t="n"/>
      <c r="Q18" s="37" t="n"/>
      <c r="R18" s="37" t="n"/>
      <c r="S18" s="37" t="n"/>
      <c r="T18" s="37" t="n"/>
      <c r="U18" s="37" t="n"/>
      <c r="V18" s="37" t="n"/>
      <c r="W18" s="37" t="n"/>
      <c r="X18" s="37" t="n"/>
      <c r="Y18" s="37" t="n"/>
      <c r="Z18" s="37" t="n"/>
      <c r="AA18" s="37" t="n"/>
      <c r="AB18" s="37" t="n"/>
      <c r="AC18" s="37" t="n"/>
      <c r="AD18" s="37" t="n"/>
      <c r="AE18" s="37" t="n"/>
      <c r="AF18" s="37" t="n"/>
      <c r="AG18" s="37" t="n"/>
      <c r="AH18" s="37" t="n"/>
      <c r="AI18" s="39">
        <f>IF($B18="","",COUNTIF(D18:AH18,"P"))</f>
        <v/>
      </c>
      <c r="AJ18" s="39">
        <f>IF($B18="","",COUNTIF(D18:AH18,"R"))</f>
        <v/>
      </c>
      <c r="AK18" s="39">
        <f>IF($B18="","",COUNTIF(D18:AH18,"A"))</f>
        <v/>
      </c>
      <c r="AL18" s="39">
        <f>IF($B18="","",COUNTIF(D18:AH18,"C"))</f>
        <v/>
      </c>
      <c r="AM18" s="39">
        <f>IF($B18="","",COUNTIF(D18:AH18,"M"))</f>
        <v/>
      </c>
      <c r="AN18" s="40">
        <f>IF($B18="","",IF(AI18+AJ18+AK18+AM18=0,"",(AI18+AJ18)/(AI18+AJ18+AK18+AM18)))</f>
        <v/>
      </c>
      <c r="AO18" s="41">
        <f>IF($B18="","",IF('Employés'!D16="","",(AI18+AJ18+AL18)*'Employés'!D16))</f>
        <v/>
      </c>
    </row>
    <row r="19" ht="20" customHeight="1">
      <c r="A19" s="37">
        <f>IF('Employés'!B17="","",'Employés'!A17)</f>
        <v/>
      </c>
      <c r="B19" s="38">
        <f>IF('Employés'!B17="","",'Employés'!B17)</f>
        <v/>
      </c>
      <c r="C19" s="38">
        <f>IF('Employés'!C17="","",'Employés'!C17)</f>
        <v/>
      </c>
      <c r="D19" s="37" t="n"/>
      <c r="E19" s="37" t="n"/>
      <c r="F19" s="37" t="n"/>
      <c r="G19" s="37" t="n"/>
      <c r="H19" s="37" t="n"/>
      <c r="I19" s="37" t="n"/>
      <c r="J19" s="37" t="n"/>
      <c r="K19" s="37" t="n"/>
      <c r="L19" s="37" t="n"/>
      <c r="M19" s="37" t="n"/>
      <c r="N19" s="37" t="n"/>
      <c r="O19" s="37" t="n"/>
      <c r="P19" s="37" t="n"/>
      <c r="Q19" s="37" t="n"/>
      <c r="R19" s="37" t="n"/>
      <c r="S19" s="37" t="n"/>
      <c r="T19" s="37" t="n"/>
      <c r="U19" s="37" t="n"/>
      <c r="V19" s="37" t="n"/>
      <c r="W19" s="37" t="n"/>
      <c r="X19" s="37" t="n"/>
      <c r="Y19" s="37" t="n"/>
      <c r="Z19" s="37" t="n"/>
      <c r="AA19" s="37" t="n"/>
      <c r="AB19" s="37" t="n"/>
      <c r="AC19" s="37" t="n"/>
      <c r="AD19" s="37" t="n"/>
      <c r="AE19" s="37" t="n"/>
      <c r="AF19" s="37" t="n"/>
      <c r="AG19" s="37" t="n"/>
      <c r="AH19" s="37" t="n"/>
      <c r="AI19" s="39">
        <f>IF($B19="","",COUNTIF(D19:AH19,"P"))</f>
        <v/>
      </c>
      <c r="AJ19" s="39">
        <f>IF($B19="","",COUNTIF(D19:AH19,"R"))</f>
        <v/>
      </c>
      <c r="AK19" s="39">
        <f>IF($B19="","",COUNTIF(D19:AH19,"A"))</f>
        <v/>
      </c>
      <c r="AL19" s="39">
        <f>IF($B19="","",COUNTIF(D19:AH19,"C"))</f>
        <v/>
      </c>
      <c r="AM19" s="39">
        <f>IF($B19="","",COUNTIF(D19:AH19,"M"))</f>
        <v/>
      </c>
      <c r="AN19" s="40">
        <f>IF($B19="","",IF(AI19+AJ19+AK19+AM19=0,"",(AI19+AJ19)/(AI19+AJ19+AK19+AM19)))</f>
        <v/>
      </c>
      <c r="AO19" s="41">
        <f>IF($B19="","",IF('Employés'!D17="","",(AI19+AJ19+AL19)*'Employés'!D17))</f>
        <v/>
      </c>
    </row>
    <row r="20" ht="20" customHeight="1">
      <c r="A20" s="37">
        <f>IF('Employés'!B18="","",'Employés'!A18)</f>
        <v/>
      </c>
      <c r="B20" s="38">
        <f>IF('Employés'!B18="","",'Employés'!B18)</f>
        <v/>
      </c>
      <c r="C20" s="38">
        <f>IF('Employés'!C18="","",'Employés'!C18)</f>
        <v/>
      </c>
      <c r="D20" s="37" t="n"/>
      <c r="E20" s="37" t="n"/>
      <c r="F20" s="37" t="n"/>
      <c r="G20" s="37" t="n"/>
      <c r="H20" s="37" t="n"/>
      <c r="I20" s="37" t="n"/>
      <c r="J20" s="37" t="n"/>
      <c r="K20" s="37" t="n"/>
      <c r="L20" s="37" t="n"/>
      <c r="M20" s="37" t="n"/>
      <c r="N20" s="37" t="n"/>
      <c r="O20" s="37" t="n"/>
      <c r="P20" s="37" t="n"/>
      <c r="Q20" s="37" t="n"/>
      <c r="R20" s="37" t="n"/>
      <c r="S20" s="37" t="n"/>
      <c r="T20" s="37" t="n"/>
      <c r="U20" s="37" t="n"/>
      <c r="V20" s="37" t="n"/>
      <c r="W20" s="37" t="n"/>
      <c r="X20" s="37" t="n"/>
      <c r="Y20" s="37" t="n"/>
      <c r="Z20" s="37" t="n"/>
      <c r="AA20" s="37" t="n"/>
      <c r="AB20" s="37" t="n"/>
      <c r="AC20" s="37" t="n"/>
      <c r="AD20" s="37" t="n"/>
      <c r="AE20" s="37" t="n"/>
      <c r="AF20" s="37" t="n"/>
      <c r="AG20" s="37" t="n"/>
      <c r="AH20" s="37" t="n"/>
      <c r="AI20" s="39">
        <f>IF($B20="","",COUNTIF(D20:AH20,"P"))</f>
        <v/>
      </c>
      <c r="AJ20" s="39">
        <f>IF($B20="","",COUNTIF(D20:AH20,"R"))</f>
        <v/>
      </c>
      <c r="AK20" s="39">
        <f>IF($B20="","",COUNTIF(D20:AH20,"A"))</f>
        <v/>
      </c>
      <c r="AL20" s="39">
        <f>IF($B20="","",COUNTIF(D20:AH20,"C"))</f>
        <v/>
      </c>
      <c r="AM20" s="39">
        <f>IF($B20="","",COUNTIF(D20:AH20,"M"))</f>
        <v/>
      </c>
      <c r="AN20" s="40">
        <f>IF($B20="","",IF(AI20+AJ20+AK20+AM20=0,"",(AI20+AJ20)/(AI20+AJ20+AK20+AM20)))</f>
        <v/>
      </c>
      <c r="AO20" s="41">
        <f>IF($B20="","",IF('Employés'!D18="","",(AI20+AJ20+AL20)*'Employés'!D18))</f>
        <v/>
      </c>
    </row>
    <row r="21" ht="20" customHeight="1">
      <c r="A21" s="37">
        <f>IF('Employés'!B19="","",'Employés'!A19)</f>
        <v/>
      </c>
      <c r="B21" s="38">
        <f>IF('Employés'!B19="","",'Employés'!B19)</f>
        <v/>
      </c>
      <c r="C21" s="38">
        <f>IF('Employés'!C19="","",'Employés'!C19)</f>
        <v/>
      </c>
      <c r="D21" s="37" t="n"/>
      <c r="E21" s="37" t="n"/>
      <c r="F21" s="37" t="n"/>
      <c r="G21" s="37" t="n"/>
      <c r="H21" s="37" t="n"/>
      <c r="I21" s="37" t="n"/>
      <c r="J21" s="37" t="n"/>
      <c r="K21" s="37" t="n"/>
      <c r="L21" s="37" t="n"/>
      <c r="M21" s="37" t="n"/>
      <c r="N21" s="37" t="n"/>
      <c r="O21" s="37" t="n"/>
      <c r="P21" s="37" t="n"/>
      <c r="Q21" s="37" t="n"/>
      <c r="R21" s="37" t="n"/>
      <c r="S21" s="37" t="n"/>
      <c r="T21" s="37" t="n"/>
      <c r="U21" s="37" t="n"/>
      <c r="V21" s="37" t="n"/>
      <c r="W21" s="37" t="n"/>
      <c r="X21" s="37" t="n"/>
      <c r="Y21" s="37" t="n"/>
      <c r="Z21" s="37" t="n"/>
      <c r="AA21" s="37" t="n"/>
      <c r="AB21" s="37" t="n"/>
      <c r="AC21" s="37" t="n"/>
      <c r="AD21" s="37" t="n"/>
      <c r="AE21" s="37" t="n"/>
      <c r="AF21" s="37" t="n"/>
      <c r="AG21" s="37" t="n"/>
      <c r="AH21" s="37" t="n"/>
      <c r="AI21" s="39">
        <f>IF($B21="","",COUNTIF(D21:AH21,"P"))</f>
        <v/>
      </c>
      <c r="AJ21" s="39">
        <f>IF($B21="","",COUNTIF(D21:AH21,"R"))</f>
        <v/>
      </c>
      <c r="AK21" s="39">
        <f>IF($B21="","",COUNTIF(D21:AH21,"A"))</f>
        <v/>
      </c>
      <c r="AL21" s="39">
        <f>IF($B21="","",COUNTIF(D21:AH21,"C"))</f>
        <v/>
      </c>
      <c r="AM21" s="39">
        <f>IF($B21="","",COUNTIF(D21:AH21,"M"))</f>
        <v/>
      </c>
      <c r="AN21" s="40">
        <f>IF($B21="","",IF(AI21+AJ21+AK21+AM21=0,"",(AI21+AJ21)/(AI21+AJ21+AK21+AM21)))</f>
        <v/>
      </c>
      <c r="AO21" s="41">
        <f>IF($B21="","",IF('Employés'!D19="","",(AI21+AJ21+AL21)*'Employés'!D19))</f>
        <v/>
      </c>
    </row>
    <row r="22" ht="20" customHeight="1">
      <c r="A22" s="37">
        <f>IF('Employés'!B20="","",'Employés'!A20)</f>
        <v/>
      </c>
      <c r="B22" s="38">
        <f>IF('Employés'!B20="","",'Employés'!B20)</f>
        <v/>
      </c>
      <c r="C22" s="38">
        <f>IF('Employés'!C20="","",'Employés'!C20)</f>
        <v/>
      </c>
      <c r="D22" s="37" t="n"/>
      <c r="E22" s="37" t="n"/>
      <c r="F22" s="37" t="n"/>
      <c r="G22" s="37" t="n"/>
      <c r="H22" s="37" t="n"/>
      <c r="I22" s="37" t="n"/>
      <c r="J22" s="37" t="n"/>
      <c r="K22" s="37" t="n"/>
      <c r="L22" s="37" t="n"/>
      <c r="M22" s="37" t="n"/>
      <c r="N22" s="37" t="n"/>
      <c r="O22" s="37" t="n"/>
      <c r="P22" s="37" t="n"/>
      <c r="Q22" s="37" t="n"/>
      <c r="R22" s="37" t="n"/>
      <c r="S22" s="37" t="n"/>
      <c r="T22" s="37" t="n"/>
      <c r="U22" s="37" t="n"/>
      <c r="V22" s="37" t="n"/>
      <c r="W22" s="37" t="n"/>
      <c r="X22" s="37" t="n"/>
      <c r="Y22" s="37" t="n"/>
      <c r="Z22" s="37" t="n"/>
      <c r="AA22" s="37" t="n"/>
      <c r="AB22" s="37" t="n"/>
      <c r="AC22" s="37" t="n"/>
      <c r="AD22" s="37" t="n"/>
      <c r="AE22" s="37" t="n"/>
      <c r="AF22" s="37" t="n"/>
      <c r="AG22" s="37" t="n"/>
      <c r="AH22" s="37" t="n"/>
      <c r="AI22" s="39">
        <f>IF($B22="","",COUNTIF(D22:AH22,"P"))</f>
        <v/>
      </c>
      <c r="AJ22" s="39">
        <f>IF($B22="","",COUNTIF(D22:AH22,"R"))</f>
        <v/>
      </c>
      <c r="AK22" s="39">
        <f>IF($B22="","",COUNTIF(D22:AH22,"A"))</f>
        <v/>
      </c>
      <c r="AL22" s="39">
        <f>IF($B22="","",COUNTIF(D22:AH22,"C"))</f>
        <v/>
      </c>
      <c r="AM22" s="39">
        <f>IF($B22="","",COUNTIF(D22:AH22,"M"))</f>
        <v/>
      </c>
      <c r="AN22" s="40">
        <f>IF($B22="","",IF(AI22+AJ22+AK22+AM22=0,"",(AI22+AJ22)/(AI22+AJ22+AK22+AM22)))</f>
        <v/>
      </c>
      <c r="AO22" s="41">
        <f>IF($B22="","",IF('Employés'!D20="","",(AI22+AJ22+AL22)*'Employés'!D20))</f>
        <v/>
      </c>
    </row>
    <row r="23" ht="20" customHeight="1">
      <c r="A23" s="37">
        <f>IF('Employés'!B21="","",'Employés'!A21)</f>
        <v/>
      </c>
      <c r="B23" s="38">
        <f>IF('Employés'!B21="","",'Employés'!B21)</f>
        <v/>
      </c>
      <c r="C23" s="38">
        <f>IF('Employés'!C21="","",'Employés'!C21)</f>
        <v/>
      </c>
      <c r="D23" s="37" t="n"/>
      <c r="E23" s="37" t="n"/>
      <c r="F23" s="37" t="n"/>
      <c r="G23" s="37" t="n"/>
      <c r="H23" s="37" t="n"/>
      <c r="I23" s="37" t="n"/>
      <c r="J23" s="37" t="n"/>
      <c r="K23" s="37" t="n"/>
      <c r="L23" s="37" t="n"/>
      <c r="M23" s="37" t="n"/>
      <c r="N23" s="37" t="n"/>
      <c r="O23" s="37" t="n"/>
      <c r="P23" s="37" t="n"/>
      <c r="Q23" s="37" t="n"/>
      <c r="R23" s="37" t="n"/>
      <c r="S23" s="37" t="n"/>
      <c r="T23" s="37" t="n"/>
      <c r="U23" s="37" t="n"/>
      <c r="V23" s="37" t="n"/>
      <c r="W23" s="37" t="n"/>
      <c r="X23" s="37" t="n"/>
      <c r="Y23" s="37" t="n"/>
      <c r="Z23" s="37" t="n"/>
      <c r="AA23" s="37" t="n"/>
      <c r="AB23" s="37" t="n"/>
      <c r="AC23" s="37" t="n"/>
      <c r="AD23" s="37" t="n"/>
      <c r="AE23" s="37" t="n"/>
      <c r="AF23" s="37" t="n"/>
      <c r="AG23" s="37" t="n"/>
      <c r="AH23" s="37" t="n"/>
      <c r="AI23" s="39">
        <f>IF($B23="","",COUNTIF(D23:AH23,"P"))</f>
        <v/>
      </c>
      <c r="AJ23" s="39">
        <f>IF($B23="","",COUNTIF(D23:AH23,"R"))</f>
        <v/>
      </c>
      <c r="AK23" s="39">
        <f>IF($B23="","",COUNTIF(D23:AH23,"A"))</f>
        <v/>
      </c>
      <c r="AL23" s="39">
        <f>IF($B23="","",COUNTIF(D23:AH23,"C"))</f>
        <v/>
      </c>
      <c r="AM23" s="39">
        <f>IF($B23="","",COUNTIF(D23:AH23,"M"))</f>
        <v/>
      </c>
      <c r="AN23" s="40">
        <f>IF($B23="","",IF(AI23+AJ23+AK23+AM23=0,"",(AI23+AJ23)/(AI23+AJ23+AK23+AM23)))</f>
        <v/>
      </c>
      <c r="AO23" s="41">
        <f>IF($B23="","",IF('Employés'!D21="","",(AI23+AJ23+AL23)*'Employés'!D21))</f>
        <v/>
      </c>
    </row>
    <row r="24" ht="20" customHeight="1">
      <c r="A24" s="37">
        <f>IF('Employés'!B22="","",'Employés'!A22)</f>
        <v/>
      </c>
      <c r="B24" s="38">
        <f>IF('Employés'!B22="","",'Employés'!B22)</f>
        <v/>
      </c>
      <c r="C24" s="38">
        <f>IF('Employés'!C22="","",'Employés'!C22)</f>
        <v/>
      </c>
      <c r="D24" s="37" t="n"/>
      <c r="E24" s="37" t="n"/>
      <c r="F24" s="37" t="n"/>
      <c r="G24" s="37" t="n"/>
      <c r="H24" s="37" t="n"/>
      <c r="I24" s="37" t="n"/>
      <c r="J24" s="37" t="n"/>
      <c r="K24" s="37" t="n"/>
      <c r="L24" s="37" t="n"/>
      <c r="M24" s="37" t="n"/>
      <c r="N24" s="37" t="n"/>
      <c r="O24" s="37" t="n"/>
      <c r="P24" s="37" t="n"/>
      <c r="Q24" s="37" t="n"/>
      <c r="R24" s="37" t="n"/>
      <c r="S24" s="37" t="n"/>
      <c r="T24" s="37" t="n"/>
      <c r="U24" s="37" t="n"/>
      <c r="V24" s="37" t="n"/>
      <c r="W24" s="37" t="n"/>
      <c r="X24" s="37" t="n"/>
      <c r="Y24" s="37" t="n"/>
      <c r="Z24" s="37" t="n"/>
      <c r="AA24" s="37" t="n"/>
      <c r="AB24" s="37" t="n"/>
      <c r="AC24" s="37" t="n"/>
      <c r="AD24" s="37" t="n"/>
      <c r="AE24" s="37" t="n"/>
      <c r="AF24" s="37" t="n"/>
      <c r="AG24" s="37" t="n"/>
      <c r="AH24" s="37" t="n"/>
      <c r="AI24" s="39">
        <f>IF($B24="","",COUNTIF(D24:AH24,"P"))</f>
        <v/>
      </c>
      <c r="AJ24" s="39">
        <f>IF($B24="","",COUNTIF(D24:AH24,"R"))</f>
        <v/>
      </c>
      <c r="AK24" s="39">
        <f>IF($B24="","",COUNTIF(D24:AH24,"A"))</f>
        <v/>
      </c>
      <c r="AL24" s="39">
        <f>IF($B24="","",COUNTIF(D24:AH24,"C"))</f>
        <v/>
      </c>
      <c r="AM24" s="39">
        <f>IF($B24="","",COUNTIF(D24:AH24,"M"))</f>
        <v/>
      </c>
      <c r="AN24" s="40">
        <f>IF($B24="","",IF(AI24+AJ24+AK24+AM24=0,"",(AI24+AJ24)/(AI24+AJ24+AK24+AM24)))</f>
        <v/>
      </c>
      <c r="AO24" s="41">
        <f>IF($B24="","",IF('Employés'!D22="","",(AI24+AJ24+AL24)*'Employés'!D22))</f>
        <v/>
      </c>
    </row>
    <row r="25" ht="20" customHeight="1">
      <c r="A25" s="37">
        <f>IF('Employés'!B23="","",'Employés'!A23)</f>
        <v/>
      </c>
      <c r="B25" s="38">
        <f>IF('Employés'!B23="","",'Employés'!B23)</f>
        <v/>
      </c>
      <c r="C25" s="38">
        <f>IF('Employés'!C23="","",'Employés'!C23)</f>
        <v/>
      </c>
      <c r="D25" s="37" t="n"/>
      <c r="E25" s="37" t="n"/>
      <c r="F25" s="37" t="n"/>
      <c r="G25" s="37" t="n"/>
      <c r="H25" s="37" t="n"/>
      <c r="I25" s="37" t="n"/>
      <c r="J25" s="37" t="n"/>
      <c r="K25" s="37" t="n"/>
      <c r="L25" s="37" t="n"/>
      <c r="M25" s="37" t="n"/>
      <c r="N25" s="37" t="n"/>
      <c r="O25" s="37" t="n"/>
      <c r="P25" s="37" t="n"/>
      <c r="Q25" s="37" t="n"/>
      <c r="R25" s="37" t="n"/>
      <c r="S25" s="37" t="n"/>
      <c r="T25" s="37" t="n"/>
      <c r="U25" s="37" t="n"/>
      <c r="V25" s="37" t="n"/>
      <c r="W25" s="37" t="n"/>
      <c r="X25" s="37" t="n"/>
      <c r="Y25" s="37" t="n"/>
      <c r="Z25" s="37" t="n"/>
      <c r="AA25" s="37" t="n"/>
      <c r="AB25" s="37" t="n"/>
      <c r="AC25" s="37" t="n"/>
      <c r="AD25" s="37" t="n"/>
      <c r="AE25" s="37" t="n"/>
      <c r="AF25" s="37" t="n"/>
      <c r="AG25" s="37" t="n"/>
      <c r="AH25" s="37" t="n"/>
      <c r="AI25" s="39">
        <f>IF($B25="","",COUNTIF(D25:AH25,"P"))</f>
        <v/>
      </c>
      <c r="AJ25" s="39">
        <f>IF($B25="","",COUNTIF(D25:AH25,"R"))</f>
        <v/>
      </c>
      <c r="AK25" s="39">
        <f>IF($B25="","",COUNTIF(D25:AH25,"A"))</f>
        <v/>
      </c>
      <c r="AL25" s="39">
        <f>IF($B25="","",COUNTIF(D25:AH25,"C"))</f>
        <v/>
      </c>
      <c r="AM25" s="39">
        <f>IF($B25="","",COUNTIF(D25:AH25,"M"))</f>
        <v/>
      </c>
      <c r="AN25" s="40">
        <f>IF($B25="","",IF(AI25+AJ25+AK25+AM25=0,"",(AI25+AJ25)/(AI25+AJ25+AK25+AM25)))</f>
        <v/>
      </c>
      <c r="AO25" s="41">
        <f>IF($B25="","",IF('Employés'!D23="","",(AI25+AJ25+AL25)*'Employés'!D23))</f>
        <v/>
      </c>
    </row>
    <row r="26" ht="20" customHeight="1">
      <c r="A26" s="37">
        <f>IF('Employés'!B24="","",'Employés'!A24)</f>
        <v/>
      </c>
      <c r="B26" s="38">
        <f>IF('Employés'!B24="","",'Employés'!B24)</f>
        <v/>
      </c>
      <c r="C26" s="38">
        <f>IF('Employés'!C24="","",'Employés'!C24)</f>
        <v/>
      </c>
      <c r="D26" s="37" t="n"/>
      <c r="E26" s="37" t="n"/>
      <c r="F26" s="37" t="n"/>
      <c r="G26" s="37" t="n"/>
      <c r="H26" s="37" t="n"/>
      <c r="I26" s="37" t="n"/>
      <c r="J26" s="37" t="n"/>
      <c r="K26" s="37" t="n"/>
      <c r="L26" s="37" t="n"/>
      <c r="M26" s="37" t="n"/>
      <c r="N26" s="37" t="n"/>
      <c r="O26" s="37" t="n"/>
      <c r="P26" s="37" t="n"/>
      <c r="Q26" s="37" t="n"/>
      <c r="R26" s="37" t="n"/>
      <c r="S26" s="37" t="n"/>
      <c r="T26" s="37" t="n"/>
      <c r="U26" s="37" t="n"/>
      <c r="V26" s="37" t="n"/>
      <c r="W26" s="37" t="n"/>
      <c r="X26" s="37" t="n"/>
      <c r="Y26" s="37" t="n"/>
      <c r="Z26" s="37" t="n"/>
      <c r="AA26" s="37" t="n"/>
      <c r="AB26" s="37" t="n"/>
      <c r="AC26" s="37" t="n"/>
      <c r="AD26" s="37" t="n"/>
      <c r="AE26" s="37" t="n"/>
      <c r="AF26" s="37" t="n"/>
      <c r="AG26" s="37" t="n"/>
      <c r="AH26" s="37" t="n"/>
      <c r="AI26" s="39">
        <f>IF($B26="","",COUNTIF(D26:AH26,"P"))</f>
        <v/>
      </c>
      <c r="AJ26" s="39">
        <f>IF($B26="","",COUNTIF(D26:AH26,"R"))</f>
        <v/>
      </c>
      <c r="AK26" s="39">
        <f>IF($B26="","",COUNTIF(D26:AH26,"A"))</f>
        <v/>
      </c>
      <c r="AL26" s="39">
        <f>IF($B26="","",COUNTIF(D26:AH26,"C"))</f>
        <v/>
      </c>
      <c r="AM26" s="39">
        <f>IF($B26="","",COUNTIF(D26:AH26,"M"))</f>
        <v/>
      </c>
      <c r="AN26" s="40">
        <f>IF($B26="","",IF(AI26+AJ26+AK26+AM26=0,"",(AI26+AJ26)/(AI26+AJ26+AK26+AM26)))</f>
        <v/>
      </c>
      <c r="AO26" s="41">
        <f>IF($B26="","",IF('Employés'!D24="","",(AI26+AJ26+AL26)*'Employés'!D24))</f>
        <v/>
      </c>
    </row>
    <row r="27" ht="20" customHeight="1">
      <c r="A27" s="37">
        <f>IF('Employés'!B25="","",'Employés'!A25)</f>
        <v/>
      </c>
      <c r="B27" s="38">
        <f>IF('Employés'!B25="","",'Employés'!B25)</f>
        <v/>
      </c>
      <c r="C27" s="38">
        <f>IF('Employés'!C25="","",'Employés'!C25)</f>
        <v/>
      </c>
      <c r="D27" s="37" t="n"/>
      <c r="E27" s="37" t="n"/>
      <c r="F27" s="37" t="n"/>
      <c r="G27" s="37" t="n"/>
      <c r="H27" s="37" t="n"/>
      <c r="I27" s="37" t="n"/>
      <c r="J27" s="37" t="n"/>
      <c r="K27" s="37" t="n"/>
      <c r="L27" s="37" t="n"/>
      <c r="M27" s="37" t="n"/>
      <c r="N27" s="37" t="n"/>
      <c r="O27" s="37" t="n"/>
      <c r="P27" s="37" t="n"/>
      <c r="Q27" s="37" t="n"/>
      <c r="R27" s="37" t="n"/>
      <c r="S27" s="37" t="n"/>
      <c r="T27" s="37" t="n"/>
      <c r="U27" s="37" t="n"/>
      <c r="V27" s="37" t="n"/>
      <c r="W27" s="37" t="n"/>
      <c r="X27" s="37" t="n"/>
      <c r="Y27" s="37" t="n"/>
      <c r="Z27" s="37" t="n"/>
      <c r="AA27" s="37" t="n"/>
      <c r="AB27" s="37" t="n"/>
      <c r="AC27" s="37" t="n"/>
      <c r="AD27" s="37" t="n"/>
      <c r="AE27" s="37" t="n"/>
      <c r="AF27" s="37" t="n"/>
      <c r="AG27" s="37" t="n"/>
      <c r="AH27" s="37" t="n"/>
      <c r="AI27" s="39">
        <f>IF($B27="","",COUNTIF(D27:AH27,"P"))</f>
        <v/>
      </c>
      <c r="AJ27" s="39">
        <f>IF($B27="","",COUNTIF(D27:AH27,"R"))</f>
        <v/>
      </c>
      <c r="AK27" s="39">
        <f>IF($B27="","",COUNTIF(D27:AH27,"A"))</f>
        <v/>
      </c>
      <c r="AL27" s="39">
        <f>IF($B27="","",COUNTIF(D27:AH27,"C"))</f>
        <v/>
      </c>
      <c r="AM27" s="39">
        <f>IF($B27="","",COUNTIF(D27:AH27,"M"))</f>
        <v/>
      </c>
      <c r="AN27" s="40">
        <f>IF($B27="","",IF(AI27+AJ27+AK27+AM27=0,"",(AI27+AJ27)/(AI27+AJ27+AK27+AM27)))</f>
        <v/>
      </c>
      <c r="AO27" s="41">
        <f>IF($B27="","",IF('Employés'!D25="","",(AI27+AJ27+AL27)*'Employés'!D25))</f>
        <v/>
      </c>
    </row>
    <row r="28" ht="20" customHeight="1">
      <c r="A28" s="37">
        <f>IF('Employés'!B26="","",'Employés'!A26)</f>
        <v/>
      </c>
      <c r="B28" s="38">
        <f>IF('Employés'!B26="","",'Employés'!B26)</f>
        <v/>
      </c>
      <c r="C28" s="38">
        <f>IF('Employés'!C26="","",'Employés'!C26)</f>
        <v/>
      </c>
      <c r="D28" s="37" t="n"/>
      <c r="E28" s="37" t="n"/>
      <c r="F28" s="37" t="n"/>
      <c r="G28" s="37" t="n"/>
      <c r="H28" s="37" t="n"/>
      <c r="I28" s="37" t="n"/>
      <c r="J28" s="37" t="n"/>
      <c r="K28" s="37" t="n"/>
      <c r="L28" s="37" t="n"/>
      <c r="M28" s="37" t="n"/>
      <c r="N28" s="37" t="n"/>
      <c r="O28" s="37" t="n"/>
      <c r="P28" s="37" t="n"/>
      <c r="Q28" s="37" t="n"/>
      <c r="R28" s="37" t="n"/>
      <c r="S28" s="37" t="n"/>
      <c r="T28" s="37" t="n"/>
      <c r="U28" s="37" t="n"/>
      <c r="V28" s="37" t="n"/>
      <c r="W28" s="37" t="n"/>
      <c r="X28" s="37" t="n"/>
      <c r="Y28" s="37" t="n"/>
      <c r="Z28" s="37" t="n"/>
      <c r="AA28" s="37" t="n"/>
      <c r="AB28" s="37" t="n"/>
      <c r="AC28" s="37" t="n"/>
      <c r="AD28" s="37" t="n"/>
      <c r="AE28" s="37" t="n"/>
      <c r="AF28" s="37" t="n"/>
      <c r="AG28" s="37" t="n"/>
      <c r="AH28" s="37" t="n"/>
      <c r="AI28" s="39">
        <f>IF($B28="","",COUNTIF(D28:AH28,"P"))</f>
        <v/>
      </c>
      <c r="AJ28" s="39">
        <f>IF($B28="","",COUNTIF(D28:AH28,"R"))</f>
        <v/>
      </c>
      <c r="AK28" s="39">
        <f>IF($B28="","",COUNTIF(D28:AH28,"A"))</f>
        <v/>
      </c>
      <c r="AL28" s="39">
        <f>IF($B28="","",COUNTIF(D28:AH28,"C"))</f>
        <v/>
      </c>
      <c r="AM28" s="39">
        <f>IF($B28="","",COUNTIF(D28:AH28,"M"))</f>
        <v/>
      </c>
      <c r="AN28" s="40">
        <f>IF($B28="","",IF(AI28+AJ28+AK28+AM28=0,"",(AI28+AJ28)/(AI28+AJ28+AK28+AM28)))</f>
        <v/>
      </c>
      <c r="AO28" s="41">
        <f>IF($B28="","",IF('Employés'!D26="","",(AI28+AJ28+AL28)*'Employés'!D26))</f>
        <v/>
      </c>
    </row>
    <row r="29" ht="20" customHeight="1">
      <c r="A29" s="37">
        <f>IF('Employés'!B27="","",'Employés'!A27)</f>
        <v/>
      </c>
      <c r="B29" s="38">
        <f>IF('Employés'!B27="","",'Employés'!B27)</f>
        <v/>
      </c>
      <c r="C29" s="38">
        <f>IF('Employés'!C27="","",'Employés'!C27)</f>
        <v/>
      </c>
      <c r="D29" s="37" t="n"/>
      <c r="E29" s="37" t="n"/>
      <c r="F29" s="37" t="n"/>
      <c r="G29" s="37" t="n"/>
      <c r="H29" s="37" t="n"/>
      <c r="I29" s="37" t="n"/>
      <c r="J29" s="37" t="n"/>
      <c r="K29" s="37" t="n"/>
      <c r="L29" s="37" t="n"/>
      <c r="M29" s="37" t="n"/>
      <c r="N29" s="37" t="n"/>
      <c r="O29" s="37" t="n"/>
      <c r="P29" s="37" t="n"/>
      <c r="Q29" s="37" t="n"/>
      <c r="R29" s="37" t="n"/>
      <c r="S29" s="37" t="n"/>
      <c r="T29" s="37" t="n"/>
      <c r="U29" s="37" t="n"/>
      <c r="V29" s="37" t="n"/>
      <c r="W29" s="37" t="n"/>
      <c r="X29" s="37" t="n"/>
      <c r="Y29" s="37" t="n"/>
      <c r="Z29" s="37" t="n"/>
      <c r="AA29" s="37" t="n"/>
      <c r="AB29" s="37" t="n"/>
      <c r="AC29" s="37" t="n"/>
      <c r="AD29" s="37" t="n"/>
      <c r="AE29" s="37" t="n"/>
      <c r="AF29" s="37" t="n"/>
      <c r="AG29" s="37" t="n"/>
      <c r="AH29" s="37" t="n"/>
      <c r="AI29" s="39">
        <f>IF($B29="","",COUNTIF(D29:AH29,"P"))</f>
        <v/>
      </c>
      <c r="AJ29" s="39">
        <f>IF($B29="","",COUNTIF(D29:AH29,"R"))</f>
        <v/>
      </c>
      <c r="AK29" s="39">
        <f>IF($B29="","",COUNTIF(D29:AH29,"A"))</f>
        <v/>
      </c>
      <c r="AL29" s="39">
        <f>IF($B29="","",COUNTIF(D29:AH29,"C"))</f>
        <v/>
      </c>
      <c r="AM29" s="39">
        <f>IF($B29="","",COUNTIF(D29:AH29,"M"))</f>
        <v/>
      </c>
      <c r="AN29" s="40">
        <f>IF($B29="","",IF(AI29+AJ29+AK29+AM29=0,"",(AI29+AJ29)/(AI29+AJ29+AK29+AM29)))</f>
        <v/>
      </c>
      <c r="AO29" s="41">
        <f>IF($B29="","",IF('Employés'!D27="","",(AI29+AJ29+AL29)*'Employés'!D27))</f>
        <v/>
      </c>
    </row>
    <row r="30" ht="20" customHeight="1">
      <c r="A30" s="37">
        <f>IF('Employés'!B28="","",'Employés'!A28)</f>
        <v/>
      </c>
      <c r="B30" s="38">
        <f>IF('Employés'!B28="","",'Employés'!B28)</f>
        <v/>
      </c>
      <c r="C30" s="38">
        <f>IF('Employés'!C28="","",'Employés'!C28)</f>
        <v/>
      </c>
      <c r="D30" s="37" t="n"/>
      <c r="E30" s="37" t="n"/>
      <c r="F30" s="37" t="n"/>
      <c r="G30" s="37" t="n"/>
      <c r="H30" s="37" t="n"/>
      <c r="I30" s="37" t="n"/>
      <c r="J30" s="37" t="n"/>
      <c r="K30" s="37" t="n"/>
      <c r="L30" s="37" t="n"/>
      <c r="M30" s="37" t="n"/>
      <c r="N30" s="37" t="n"/>
      <c r="O30" s="37" t="n"/>
      <c r="P30" s="37" t="n"/>
      <c r="Q30" s="37" t="n"/>
      <c r="R30" s="37" t="n"/>
      <c r="S30" s="37" t="n"/>
      <c r="T30" s="37" t="n"/>
      <c r="U30" s="37" t="n"/>
      <c r="V30" s="37" t="n"/>
      <c r="W30" s="37" t="n"/>
      <c r="X30" s="37" t="n"/>
      <c r="Y30" s="37" t="n"/>
      <c r="Z30" s="37" t="n"/>
      <c r="AA30" s="37" t="n"/>
      <c r="AB30" s="37" t="n"/>
      <c r="AC30" s="37" t="n"/>
      <c r="AD30" s="37" t="n"/>
      <c r="AE30" s="37" t="n"/>
      <c r="AF30" s="37" t="n"/>
      <c r="AG30" s="37" t="n"/>
      <c r="AH30" s="37" t="n"/>
      <c r="AI30" s="39">
        <f>IF($B30="","",COUNTIF(D30:AH30,"P"))</f>
        <v/>
      </c>
      <c r="AJ30" s="39">
        <f>IF($B30="","",COUNTIF(D30:AH30,"R"))</f>
        <v/>
      </c>
      <c r="AK30" s="39">
        <f>IF($B30="","",COUNTIF(D30:AH30,"A"))</f>
        <v/>
      </c>
      <c r="AL30" s="39">
        <f>IF($B30="","",COUNTIF(D30:AH30,"C"))</f>
        <v/>
      </c>
      <c r="AM30" s="39">
        <f>IF($B30="","",COUNTIF(D30:AH30,"M"))</f>
        <v/>
      </c>
      <c r="AN30" s="40">
        <f>IF($B30="","",IF(AI30+AJ30+AK30+AM30=0,"",(AI30+AJ30)/(AI30+AJ30+AK30+AM30)))</f>
        <v/>
      </c>
      <c r="AO30" s="41">
        <f>IF($B30="","",IF('Employés'!D28="","",(AI30+AJ30+AL30)*'Employés'!D28))</f>
        <v/>
      </c>
    </row>
    <row r="31" ht="20" customHeight="1">
      <c r="A31" s="37">
        <f>IF('Employés'!B29="","",'Employés'!A29)</f>
        <v/>
      </c>
      <c r="B31" s="38">
        <f>IF('Employés'!B29="","",'Employés'!B29)</f>
        <v/>
      </c>
      <c r="C31" s="38">
        <f>IF('Employés'!C29="","",'Employés'!C29)</f>
        <v/>
      </c>
      <c r="D31" s="37" t="n"/>
      <c r="E31" s="37" t="n"/>
      <c r="F31" s="37" t="n"/>
      <c r="G31" s="37" t="n"/>
      <c r="H31" s="37" t="n"/>
      <c r="I31" s="37" t="n"/>
      <c r="J31" s="37" t="n"/>
      <c r="K31" s="37" t="n"/>
      <c r="L31" s="37" t="n"/>
      <c r="M31" s="37" t="n"/>
      <c r="N31" s="37" t="n"/>
      <c r="O31" s="37" t="n"/>
      <c r="P31" s="37" t="n"/>
      <c r="Q31" s="37" t="n"/>
      <c r="R31" s="37" t="n"/>
      <c r="S31" s="37" t="n"/>
      <c r="T31" s="37" t="n"/>
      <c r="U31" s="37" t="n"/>
      <c r="V31" s="37" t="n"/>
      <c r="W31" s="37" t="n"/>
      <c r="X31" s="37" t="n"/>
      <c r="Y31" s="37" t="n"/>
      <c r="Z31" s="37" t="n"/>
      <c r="AA31" s="37" t="n"/>
      <c r="AB31" s="37" t="n"/>
      <c r="AC31" s="37" t="n"/>
      <c r="AD31" s="37" t="n"/>
      <c r="AE31" s="37" t="n"/>
      <c r="AF31" s="37" t="n"/>
      <c r="AG31" s="37" t="n"/>
      <c r="AH31" s="37" t="n"/>
      <c r="AI31" s="39">
        <f>IF($B31="","",COUNTIF(D31:AH31,"P"))</f>
        <v/>
      </c>
      <c r="AJ31" s="39">
        <f>IF($B31="","",COUNTIF(D31:AH31,"R"))</f>
        <v/>
      </c>
      <c r="AK31" s="39">
        <f>IF($B31="","",COUNTIF(D31:AH31,"A"))</f>
        <v/>
      </c>
      <c r="AL31" s="39">
        <f>IF($B31="","",COUNTIF(D31:AH31,"C"))</f>
        <v/>
      </c>
      <c r="AM31" s="39">
        <f>IF($B31="","",COUNTIF(D31:AH31,"M"))</f>
        <v/>
      </c>
      <c r="AN31" s="40">
        <f>IF($B31="","",IF(AI31+AJ31+AK31+AM31=0,"",(AI31+AJ31)/(AI31+AJ31+AK31+AM31)))</f>
        <v/>
      </c>
      <c r="AO31" s="41">
        <f>IF($B31="","",IF('Employés'!D29="","",(AI31+AJ31+AL31)*'Employés'!D29))</f>
        <v/>
      </c>
    </row>
    <row r="32" ht="20" customHeight="1">
      <c r="A32" s="37">
        <f>IF('Employés'!B30="","",'Employés'!A30)</f>
        <v/>
      </c>
      <c r="B32" s="38">
        <f>IF('Employés'!B30="","",'Employés'!B30)</f>
        <v/>
      </c>
      <c r="C32" s="38">
        <f>IF('Employés'!C30="","",'Employés'!C30)</f>
        <v/>
      </c>
      <c r="D32" s="37" t="n"/>
      <c r="E32" s="37" t="n"/>
      <c r="F32" s="37" t="n"/>
      <c r="G32" s="37" t="n"/>
      <c r="H32" s="37" t="n"/>
      <c r="I32" s="37" t="n"/>
      <c r="J32" s="37" t="n"/>
      <c r="K32" s="37" t="n"/>
      <c r="L32" s="37" t="n"/>
      <c r="M32" s="37" t="n"/>
      <c r="N32" s="37" t="n"/>
      <c r="O32" s="37" t="n"/>
      <c r="P32" s="37" t="n"/>
      <c r="Q32" s="37" t="n"/>
      <c r="R32" s="37" t="n"/>
      <c r="S32" s="37" t="n"/>
      <c r="T32" s="37" t="n"/>
      <c r="U32" s="37" t="n"/>
      <c r="V32" s="37" t="n"/>
      <c r="W32" s="37" t="n"/>
      <c r="X32" s="37" t="n"/>
      <c r="Y32" s="37" t="n"/>
      <c r="Z32" s="37" t="n"/>
      <c r="AA32" s="37" t="n"/>
      <c r="AB32" s="37" t="n"/>
      <c r="AC32" s="37" t="n"/>
      <c r="AD32" s="37" t="n"/>
      <c r="AE32" s="37" t="n"/>
      <c r="AF32" s="37" t="n"/>
      <c r="AG32" s="37" t="n"/>
      <c r="AH32" s="37" t="n"/>
      <c r="AI32" s="39">
        <f>IF($B32="","",COUNTIF(D32:AH32,"P"))</f>
        <v/>
      </c>
      <c r="AJ32" s="39">
        <f>IF($B32="","",COUNTIF(D32:AH32,"R"))</f>
        <v/>
      </c>
      <c r="AK32" s="39">
        <f>IF($B32="","",COUNTIF(D32:AH32,"A"))</f>
        <v/>
      </c>
      <c r="AL32" s="39">
        <f>IF($B32="","",COUNTIF(D32:AH32,"C"))</f>
        <v/>
      </c>
      <c r="AM32" s="39">
        <f>IF($B32="","",COUNTIF(D32:AH32,"M"))</f>
        <v/>
      </c>
      <c r="AN32" s="40">
        <f>IF($B32="","",IF(AI32+AJ32+AK32+AM32=0,"",(AI32+AJ32)/(AI32+AJ32+AK32+AM32)))</f>
        <v/>
      </c>
      <c r="AO32" s="41">
        <f>IF($B32="","",IF('Employés'!D30="","",(AI32+AJ32+AL32)*'Employés'!D30))</f>
        <v/>
      </c>
    </row>
    <row r="33" ht="20" customHeight="1">
      <c r="A33" s="37">
        <f>IF('Employés'!B31="","",'Employés'!A31)</f>
        <v/>
      </c>
      <c r="B33" s="38">
        <f>IF('Employés'!B31="","",'Employés'!B31)</f>
        <v/>
      </c>
      <c r="C33" s="38">
        <f>IF('Employés'!C31="","",'Employés'!C31)</f>
        <v/>
      </c>
      <c r="D33" s="37" t="n"/>
      <c r="E33" s="37" t="n"/>
      <c r="F33" s="37" t="n"/>
      <c r="G33" s="37" t="n"/>
      <c r="H33" s="37" t="n"/>
      <c r="I33" s="37" t="n"/>
      <c r="J33" s="37" t="n"/>
      <c r="K33" s="37" t="n"/>
      <c r="L33" s="37" t="n"/>
      <c r="M33" s="37" t="n"/>
      <c r="N33" s="37" t="n"/>
      <c r="O33" s="37" t="n"/>
      <c r="P33" s="37" t="n"/>
      <c r="Q33" s="37" t="n"/>
      <c r="R33" s="37" t="n"/>
      <c r="S33" s="37" t="n"/>
      <c r="T33" s="37" t="n"/>
      <c r="U33" s="37" t="n"/>
      <c r="V33" s="37" t="n"/>
      <c r="W33" s="37" t="n"/>
      <c r="X33" s="37" t="n"/>
      <c r="Y33" s="37" t="n"/>
      <c r="Z33" s="37" t="n"/>
      <c r="AA33" s="37" t="n"/>
      <c r="AB33" s="37" t="n"/>
      <c r="AC33" s="37" t="n"/>
      <c r="AD33" s="37" t="n"/>
      <c r="AE33" s="37" t="n"/>
      <c r="AF33" s="37" t="n"/>
      <c r="AG33" s="37" t="n"/>
      <c r="AH33" s="37" t="n"/>
      <c r="AI33" s="39">
        <f>IF($B33="","",COUNTIF(D33:AH33,"P"))</f>
        <v/>
      </c>
      <c r="AJ33" s="39">
        <f>IF($B33="","",COUNTIF(D33:AH33,"R"))</f>
        <v/>
      </c>
      <c r="AK33" s="39">
        <f>IF($B33="","",COUNTIF(D33:AH33,"A"))</f>
        <v/>
      </c>
      <c r="AL33" s="39">
        <f>IF($B33="","",COUNTIF(D33:AH33,"C"))</f>
        <v/>
      </c>
      <c r="AM33" s="39">
        <f>IF($B33="","",COUNTIF(D33:AH33,"M"))</f>
        <v/>
      </c>
      <c r="AN33" s="40">
        <f>IF($B33="","",IF(AI33+AJ33+AK33+AM33=0,"",(AI33+AJ33)/(AI33+AJ33+AK33+AM33)))</f>
        <v/>
      </c>
      <c r="AO33" s="41">
        <f>IF($B33="","",IF('Employés'!D31="","",(AI33+AJ33+AL33)*'Employés'!D31))</f>
        <v/>
      </c>
    </row>
    <row r="34" ht="20" customHeight="1">
      <c r="A34" s="37">
        <f>IF('Employés'!B32="","",'Employés'!A32)</f>
        <v/>
      </c>
      <c r="B34" s="38">
        <f>IF('Employés'!B32="","",'Employés'!B32)</f>
        <v/>
      </c>
      <c r="C34" s="38">
        <f>IF('Employés'!C32="","",'Employés'!C32)</f>
        <v/>
      </c>
      <c r="D34" s="37" t="n"/>
      <c r="E34" s="37" t="n"/>
      <c r="F34" s="37" t="n"/>
      <c r="G34" s="37" t="n"/>
      <c r="H34" s="37" t="n"/>
      <c r="I34" s="37" t="n"/>
      <c r="J34" s="37" t="n"/>
      <c r="K34" s="37" t="n"/>
      <c r="L34" s="37" t="n"/>
      <c r="M34" s="37" t="n"/>
      <c r="N34" s="37" t="n"/>
      <c r="O34" s="37" t="n"/>
      <c r="P34" s="37" t="n"/>
      <c r="Q34" s="37" t="n"/>
      <c r="R34" s="37" t="n"/>
      <c r="S34" s="37" t="n"/>
      <c r="T34" s="37" t="n"/>
      <c r="U34" s="37" t="n"/>
      <c r="V34" s="37" t="n"/>
      <c r="W34" s="37" t="n"/>
      <c r="X34" s="37" t="n"/>
      <c r="Y34" s="37" t="n"/>
      <c r="Z34" s="37" t="n"/>
      <c r="AA34" s="37" t="n"/>
      <c r="AB34" s="37" t="n"/>
      <c r="AC34" s="37" t="n"/>
      <c r="AD34" s="37" t="n"/>
      <c r="AE34" s="37" t="n"/>
      <c r="AF34" s="37" t="n"/>
      <c r="AG34" s="37" t="n"/>
      <c r="AH34" s="37" t="n"/>
      <c r="AI34" s="39">
        <f>IF($B34="","",COUNTIF(D34:AH34,"P"))</f>
        <v/>
      </c>
      <c r="AJ34" s="39">
        <f>IF($B34="","",COUNTIF(D34:AH34,"R"))</f>
        <v/>
      </c>
      <c r="AK34" s="39">
        <f>IF($B34="","",COUNTIF(D34:AH34,"A"))</f>
        <v/>
      </c>
      <c r="AL34" s="39">
        <f>IF($B34="","",COUNTIF(D34:AH34,"C"))</f>
        <v/>
      </c>
      <c r="AM34" s="39">
        <f>IF($B34="","",COUNTIF(D34:AH34,"M"))</f>
        <v/>
      </c>
      <c r="AN34" s="40">
        <f>IF($B34="","",IF(AI34+AJ34+AK34+AM34=0,"",(AI34+AJ34)/(AI34+AJ34+AK34+AM34)))</f>
        <v/>
      </c>
      <c r="AO34" s="41">
        <f>IF($B34="","",IF('Employés'!D32="","",(AI34+AJ34+AL34)*'Employés'!D32))</f>
        <v/>
      </c>
    </row>
    <row r="35" ht="20" customHeight="1">
      <c r="A35" s="37">
        <f>IF('Employés'!B33="","",'Employés'!A33)</f>
        <v/>
      </c>
      <c r="B35" s="38">
        <f>IF('Employés'!B33="","",'Employés'!B33)</f>
        <v/>
      </c>
      <c r="C35" s="38">
        <f>IF('Employés'!C33="","",'Employés'!C33)</f>
        <v/>
      </c>
      <c r="D35" s="37" t="n"/>
      <c r="E35" s="37" t="n"/>
      <c r="F35" s="37" t="n"/>
      <c r="G35" s="37" t="n"/>
      <c r="H35" s="37" t="n"/>
      <c r="I35" s="37" t="n"/>
      <c r="J35" s="37" t="n"/>
      <c r="K35" s="37" t="n"/>
      <c r="L35" s="37" t="n"/>
      <c r="M35" s="37" t="n"/>
      <c r="N35" s="37" t="n"/>
      <c r="O35" s="37" t="n"/>
      <c r="P35" s="37" t="n"/>
      <c r="Q35" s="37" t="n"/>
      <c r="R35" s="37" t="n"/>
      <c r="S35" s="37" t="n"/>
      <c r="T35" s="37" t="n"/>
      <c r="U35" s="37" t="n"/>
      <c r="V35" s="37" t="n"/>
      <c r="W35" s="37" t="n"/>
      <c r="X35" s="37" t="n"/>
      <c r="Y35" s="37" t="n"/>
      <c r="Z35" s="37" t="n"/>
      <c r="AA35" s="37" t="n"/>
      <c r="AB35" s="37" t="n"/>
      <c r="AC35" s="37" t="n"/>
      <c r="AD35" s="37" t="n"/>
      <c r="AE35" s="37" t="n"/>
      <c r="AF35" s="37" t="n"/>
      <c r="AG35" s="37" t="n"/>
      <c r="AH35" s="37" t="n"/>
      <c r="AI35" s="39">
        <f>IF($B35="","",COUNTIF(D35:AH35,"P"))</f>
        <v/>
      </c>
      <c r="AJ35" s="39">
        <f>IF($B35="","",COUNTIF(D35:AH35,"R"))</f>
        <v/>
      </c>
      <c r="AK35" s="39">
        <f>IF($B35="","",COUNTIF(D35:AH35,"A"))</f>
        <v/>
      </c>
      <c r="AL35" s="39">
        <f>IF($B35="","",COUNTIF(D35:AH35,"C"))</f>
        <v/>
      </c>
      <c r="AM35" s="39">
        <f>IF($B35="","",COUNTIF(D35:AH35,"M"))</f>
        <v/>
      </c>
      <c r="AN35" s="40">
        <f>IF($B35="","",IF(AI35+AJ35+AK35+AM35=0,"",(AI35+AJ35)/(AI35+AJ35+AK35+AM35)))</f>
        <v/>
      </c>
      <c r="AO35" s="41">
        <f>IF($B35="","",IF('Employés'!D33="","",(AI35+AJ35+AL35)*'Employés'!D33))</f>
        <v/>
      </c>
    </row>
    <row r="36" ht="20" customHeight="1">
      <c r="A36" s="37">
        <f>IF('Employés'!B34="","",'Employés'!A34)</f>
        <v/>
      </c>
      <c r="B36" s="38">
        <f>IF('Employés'!B34="","",'Employés'!B34)</f>
        <v/>
      </c>
      <c r="C36" s="38">
        <f>IF('Employés'!C34="","",'Employés'!C34)</f>
        <v/>
      </c>
      <c r="D36" s="37" t="n"/>
      <c r="E36" s="37" t="n"/>
      <c r="F36" s="37" t="n"/>
      <c r="G36" s="37" t="n"/>
      <c r="H36" s="37" t="n"/>
      <c r="I36" s="37" t="n"/>
      <c r="J36" s="37" t="n"/>
      <c r="K36" s="37" t="n"/>
      <c r="L36" s="37" t="n"/>
      <c r="M36" s="37" t="n"/>
      <c r="N36" s="37" t="n"/>
      <c r="O36" s="37" t="n"/>
      <c r="P36" s="37" t="n"/>
      <c r="Q36" s="37" t="n"/>
      <c r="R36" s="37" t="n"/>
      <c r="S36" s="37" t="n"/>
      <c r="T36" s="37" t="n"/>
      <c r="U36" s="37" t="n"/>
      <c r="V36" s="37" t="n"/>
      <c r="W36" s="37" t="n"/>
      <c r="X36" s="37" t="n"/>
      <c r="Y36" s="37" t="n"/>
      <c r="Z36" s="37" t="n"/>
      <c r="AA36" s="37" t="n"/>
      <c r="AB36" s="37" t="n"/>
      <c r="AC36" s="37" t="n"/>
      <c r="AD36" s="37" t="n"/>
      <c r="AE36" s="37" t="n"/>
      <c r="AF36" s="37" t="n"/>
      <c r="AG36" s="37" t="n"/>
      <c r="AH36" s="37" t="n"/>
      <c r="AI36" s="39">
        <f>IF($B36="","",COUNTIF(D36:AH36,"P"))</f>
        <v/>
      </c>
      <c r="AJ36" s="39">
        <f>IF($B36="","",COUNTIF(D36:AH36,"R"))</f>
        <v/>
      </c>
      <c r="AK36" s="39">
        <f>IF($B36="","",COUNTIF(D36:AH36,"A"))</f>
        <v/>
      </c>
      <c r="AL36" s="39">
        <f>IF($B36="","",COUNTIF(D36:AH36,"C"))</f>
        <v/>
      </c>
      <c r="AM36" s="39">
        <f>IF($B36="","",COUNTIF(D36:AH36,"M"))</f>
        <v/>
      </c>
      <c r="AN36" s="40">
        <f>IF($B36="","",IF(AI36+AJ36+AK36+AM36=0,"",(AI36+AJ36)/(AI36+AJ36+AK36+AM36)))</f>
        <v/>
      </c>
      <c r="AO36" s="41">
        <f>IF($B36="","",IF('Employés'!D34="","",(AI36+AJ36+AL36)*'Employés'!D34))</f>
        <v/>
      </c>
    </row>
    <row r="37">
      <c r="A37" s="42" t="n"/>
      <c r="B37" s="42" t="inlineStr">
        <is>
          <t>TOTAL</t>
        </is>
      </c>
      <c r="C37" s="42" t="n"/>
      <c r="D37" s="42" t="n"/>
      <c r="E37" s="42" t="n"/>
      <c r="F37" s="42" t="n"/>
      <c r="G37" s="42" t="n"/>
      <c r="H37" s="42" t="n"/>
      <c r="I37" s="42" t="n"/>
      <c r="J37" s="42" t="n"/>
      <c r="K37" s="42" t="n"/>
      <c r="L37" s="42" t="n"/>
      <c r="M37" s="42" t="n"/>
      <c r="N37" s="42" t="n"/>
      <c r="O37" s="42" t="n"/>
      <c r="P37" s="42" t="n"/>
      <c r="Q37" s="42" t="n"/>
      <c r="R37" s="42" t="n"/>
      <c r="S37" s="42" t="n"/>
      <c r="T37" s="42" t="n"/>
      <c r="U37" s="42" t="n"/>
      <c r="V37" s="42" t="n"/>
      <c r="W37" s="42" t="n"/>
      <c r="X37" s="42" t="n"/>
      <c r="Y37" s="42" t="n"/>
      <c r="Z37" s="42" t="n"/>
      <c r="AA37" s="42" t="n"/>
      <c r="AB37" s="42" t="n"/>
      <c r="AC37" s="42" t="n"/>
      <c r="AD37" s="42" t="n"/>
      <c r="AE37" s="42" t="n"/>
      <c r="AF37" s="42" t="n"/>
      <c r="AG37" s="42" t="n"/>
      <c r="AH37" s="42" t="n"/>
      <c r="AI37" s="42">
        <f>SUM(AI7:AI36)</f>
        <v/>
      </c>
      <c r="AJ37" s="42">
        <f>SUM(AJ7:AJ36)</f>
        <v/>
      </c>
      <c r="AK37" s="42">
        <f>SUM(AK7:AK36)</f>
        <v/>
      </c>
      <c r="AL37" s="42">
        <f>SUM(AL7:AL36)</f>
        <v/>
      </c>
      <c r="AM37" s="42">
        <f>SUM(AM7:AM36)</f>
        <v/>
      </c>
      <c r="AN37" s="42" t="n"/>
      <c r="AO37" s="43">
        <f>SUM(AO7:AO36)</f>
        <v/>
      </c>
    </row>
  </sheetData>
  <mergeCells count="17">
    <mergeCell ref="A5:A6"/>
    <mergeCell ref="A2:AO2"/>
    <mergeCell ref="AI5:AI6"/>
    <mergeCell ref="D3:G3"/>
    <mergeCell ref="S3:V3"/>
    <mergeCell ref="X3:AA3"/>
    <mergeCell ref="AJ5:AJ6"/>
    <mergeCell ref="AK5:AK6"/>
    <mergeCell ref="I3:L3"/>
    <mergeCell ref="AL5:AL6"/>
    <mergeCell ref="AM5:AM6"/>
    <mergeCell ref="AN5:AN6"/>
    <mergeCell ref="A1:AO1"/>
    <mergeCell ref="N3:Q3"/>
    <mergeCell ref="AO5:AO6"/>
    <mergeCell ref="B5:B6"/>
    <mergeCell ref="C5:C6"/>
  </mergeCells>
  <conditionalFormatting sqref="D7:AH36">
    <cfRule type="expression" priority="1" dxfId="0">
      <formula>UPPER(D7)="P"</formula>
    </cfRule>
    <cfRule type="expression" priority="2" dxfId="1">
      <formula>UPPER(D7)="R"</formula>
    </cfRule>
    <cfRule type="expression" priority="3" dxfId="2">
      <formula>UPPER(D7)="A"</formula>
    </cfRule>
    <cfRule type="expression" priority="4" dxfId="3">
      <formula>UPPER(D7)="C"</formula>
    </cfRule>
    <cfRule type="expression" priority="5" dxfId="4">
      <formula>UPPER(D7)="M"</formula>
    </cfRule>
    <cfRule type="expression" priority="6" dxfId="5">
      <formula>OR(D$6="Sam",D$6="Dim",D$5="")</formula>
    </cfRule>
  </conditionalFormatting>
  <dataValidations count="1">
    <dataValidation sqref="D7:AH36" showDropDown="0" showInputMessage="0" showErrorMessage="1" allowBlank="1" errorTitle="Code inconnu" error="Utilisez P, R, A, C ou M." type="list">
      <formula1>"P,R,A,C,M"</formula1>
    </dataValidation>
  </dataValidations>
  <pageMargins left="0.75" right="0.75" top="1" bottom="1" header="0.5" footer="0.5"/>
  <pageSetup orientation="landscape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AO37"/>
  <sheetViews>
    <sheetView zoomScale="90" workbookViewId="0">
      <pane xSplit="3" ySplit="6" topLeftCell="D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24" customWidth="1" min="2" max="2"/>
    <col width="14" customWidth="1" min="3" max="3"/>
    <col width="4.6" customWidth="1" min="4" max="4"/>
    <col width="4.6" customWidth="1" min="5" max="5"/>
    <col width="4.6" customWidth="1" min="6" max="6"/>
    <col width="4.6" customWidth="1" min="7" max="7"/>
    <col width="4.6" customWidth="1" min="8" max="8"/>
    <col width="4.6" customWidth="1" min="9" max="9"/>
    <col width="4.6" customWidth="1" min="10" max="10"/>
    <col width="4.6" customWidth="1" min="11" max="11"/>
    <col width="4.6" customWidth="1" min="12" max="12"/>
    <col width="4.6" customWidth="1" min="13" max="13"/>
    <col width="4.6" customWidth="1" min="14" max="14"/>
    <col width="4.6" customWidth="1" min="15" max="15"/>
    <col width="4.6" customWidth="1" min="16" max="16"/>
    <col width="4.6" customWidth="1" min="17" max="17"/>
    <col width="4.6" customWidth="1" min="18" max="18"/>
    <col width="4.6" customWidth="1" min="19" max="19"/>
    <col width="4.6" customWidth="1" min="20" max="20"/>
    <col width="4.6" customWidth="1" min="21" max="21"/>
    <col width="4.6" customWidth="1" min="22" max="22"/>
    <col width="4.6" customWidth="1" min="23" max="23"/>
    <col width="4.6" customWidth="1" min="24" max="24"/>
    <col width="4.6" customWidth="1" min="25" max="25"/>
    <col width="4.6" customWidth="1" min="26" max="26"/>
    <col width="4.6" customWidth="1" min="27" max="27"/>
    <col width="4.6" customWidth="1" min="28" max="28"/>
    <col width="4.6" customWidth="1" min="29" max="29"/>
    <col width="4.6" customWidth="1" min="30" max="30"/>
    <col width="4.6" customWidth="1" min="31" max="31"/>
    <col width="4.6" customWidth="1" min="32" max="32"/>
    <col width="4.6" customWidth="1" min="33" max="33"/>
    <col width="4.6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13" customWidth="1" min="40" max="40"/>
    <col width="13" customWidth="1" min="41" max="41"/>
  </cols>
  <sheetData>
    <row r="1" ht="34" customHeight="1">
      <c r="A1" s="1">
        <f>'Paramètres'!$B$4&amp;" · Pointage de Novembre "&amp;'Paramètres'!$B$5</f>
        <v/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</row>
    <row r="2" ht="20" customHeight="1">
      <c r="A2" s="3" t="inlineStr">
        <is>
          <t>Outil offert par Logia (DWTS) · Un logiciel sur mesure pour votre entreprise ? WhatsApp 062 67 14 45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2" t="n"/>
      <c r="AL2" s="2" t="n"/>
      <c r="AM2" s="2" t="n"/>
      <c r="AN2" s="2" t="n"/>
      <c r="AO2" s="2" t="n"/>
    </row>
    <row r="3">
      <c r="A3" s="6" t="inlineStr">
        <is>
          <t>Codes :</t>
        </is>
      </c>
      <c r="D3" s="30" t="inlineStr">
        <is>
          <t>P = Présent</t>
        </is>
      </c>
      <c r="I3" s="31" t="inlineStr">
        <is>
          <t>R = En retard</t>
        </is>
      </c>
      <c r="N3" s="32" t="inlineStr">
        <is>
          <t>A = Absent</t>
        </is>
      </c>
      <c r="S3" s="33" t="inlineStr">
        <is>
          <t>C = Congé</t>
        </is>
      </c>
      <c r="X3" s="34" t="inlineStr">
        <is>
          <t>M = Malade</t>
        </is>
      </c>
    </row>
    <row r="5" ht="22" customHeight="1">
      <c r="A5" s="35" t="inlineStr">
        <is>
          <t>ID</t>
        </is>
      </c>
      <c r="B5" s="35" t="inlineStr">
        <is>
          <t>Nom</t>
        </is>
      </c>
      <c r="C5" s="35" t="inlineStr">
        <is>
          <t>Poste</t>
        </is>
      </c>
      <c r="D5" s="35">
        <f>IF(MONTH(DATE('Paramètres'!$B$5,11,1))=11,1,"")</f>
        <v/>
      </c>
      <c r="E5" s="35">
        <f>IF(MONTH(DATE('Paramètres'!$B$5,11,2))=11,2,"")</f>
        <v/>
      </c>
      <c r="F5" s="35">
        <f>IF(MONTH(DATE('Paramètres'!$B$5,11,3))=11,3,"")</f>
        <v/>
      </c>
      <c r="G5" s="35">
        <f>IF(MONTH(DATE('Paramètres'!$B$5,11,4))=11,4,"")</f>
        <v/>
      </c>
      <c r="H5" s="35">
        <f>IF(MONTH(DATE('Paramètres'!$B$5,11,5))=11,5,"")</f>
        <v/>
      </c>
      <c r="I5" s="35">
        <f>IF(MONTH(DATE('Paramètres'!$B$5,11,6))=11,6,"")</f>
        <v/>
      </c>
      <c r="J5" s="35">
        <f>IF(MONTH(DATE('Paramètres'!$B$5,11,7))=11,7,"")</f>
        <v/>
      </c>
      <c r="K5" s="35">
        <f>IF(MONTH(DATE('Paramètres'!$B$5,11,8))=11,8,"")</f>
        <v/>
      </c>
      <c r="L5" s="35">
        <f>IF(MONTH(DATE('Paramètres'!$B$5,11,9))=11,9,"")</f>
        <v/>
      </c>
      <c r="M5" s="35">
        <f>IF(MONTH(DATE('Paramètres'!$B$5,11,10))=11,10,"")</f>
        <v/>
      </c>
      <c r="N5" s="35">
        <f>IF(MONTH(DATE('Paramètres'!$B$5,11,11))=11,11,"")</f>
        <v/>
      </c>
      <c r="O5" s="35">
        <f>IF(MONTH(DATE('Paramètres'!$B$5,11,12))=11,12,"")</f>
        <v/>
      </c>
      <c r="P5" s="35">
        <f>IF(MONTH(DATE('Paramètres'!$B$5,11,13))=11,13,"")</f>
        <v/>
      </c>
      <c r="Q5" s="35">
        <f>IF(MONTH(DATE('Paramètres'!$B$5,11,14))=11,14,"")</f>
        <v/>
      </c>
      <c r="R5" s="35">
        <f>IF(MONTH(DATE('Paramètres'!$B$5,11,15))=11,15,"")</f>
        <v/>
      </c>
      <c r="S5" s="35">
        <f>IF(MONTH(DATE('Paramètres'!$B$5,11,16))=11,16,"")</f>
        <v/>
      </c>
      <c r="T5" s="35">
        <f>IF(MONTH(DATE('Paramètres'!$B$5,11,17))=11,17,"")</f>
        <v/>
      </c>
      <c r="U5" s="35">
        <f>IF(MONTH(DATE('Paramètres'!$B$5,11,18))=11,18,"")</f>
        <v/>
      </c>
      <c r="V5" s="35">
        <f>IF(MONTH(DATE('Paramètres'!$B$5,11,19))=11,19,"")</f>
        <v/>
      </c>
      <c r="W5" s="35">
        <f>IF(MONTH(DATE('Paramètres'!$B$5,11,20))=11,20,"")</f>
        <v/>
      </c>
      <c r="X5" s="35">
        <f>IF(MONTH(DATE('Paramètres'!$B$5,11,21))=11,21,"")</f>
        <v/>
      </c>
      <c r="Y5" s="35">
        <f>IF(MONTH(DATE('Paramètres'!$B$5,11,22))=11,22,"")</f>
        <v/>
      </c>
      <c r="Z5" s="35">
        <f>IF(MONTH(DATE('Paramètres'!$B$5,11,23))=11,23,"")</f>
        <v/>
      </c>
      <c r="AA5" s="35">
        <f>IF(MONTH(DATE('Paramètres'!$B$5,11,24))=11,24,"")</f>
        <v/>
      </c>
      <c r="AB5" s="35">
        <f>IF(MONTH(DATE('Paramètres'!$B$5,11,25))=11,25,"")</f>
        <v/>
      </c>
      <c r="AC5" s="35">
        <f>IF(MONTH(DATE('Paramètres'!$B$5,11,26))=11,26,"")</f>
        <v/>
      </c>
      <c r="AD5" s="35">
        <f>IF(MONTH(DATE('Paramètres'!$B$5,11,27))=11,27,"")</f>
        <v/>
      </c>
      <c r="AE5" s="35">
        <f>IF(MONTH(DATE('Paramètres'!$B$5,11,28))=11,28,"")</f>
        <v/>
      </c>
      <c r="AF5" s="35">
        <f>IF(MONTH(DATE('Paramètres'!$B$5,11,29))=11,29,"")</f>
        <v/>
      </c>
      <c r="AG5" s="35">
        <f>IF(MONTH(DATE('Paramètres'!$B$5,11,30))=11,30,"")</f>
        <v/>
      </c>
      <c r="AH5" s="35">
        <f>IF(MONTH(DATE('Paramètres'!$B$5,11,31))=11,31,"")</f>
        <v/>
      </c>
      <c r="AI5" s="36" t="inlineStr">
        <is>
          <t>Présent</t>
        </is>
      </c>
      <c r="AJ5" s="36" t="inlineStr">
        <is>
          <t>Retard</t>
        </is>
      </c>
      <c r="AK5" s="36" t="inlineStr">
        <is>
          <t>Absent</t>
        </is>
      </c>
      <c r="AL5" s="36" t="inlineStr">
        <is>
          <t>Congé</t>
        </is>
      </c>
      <c r="AM5" s="36" t="inlineStr">
        <is>
          <t>Malade</t>
        </is>
      </c>
      <c r="AN5" s="36" t="inlineStr">
        <is>
          <t>Taux de présence</t>
        </is>
      </c>
      <c r="AO5" s="36" t="inlineStr">
        <is>
          <t>Salaire dû</t>
        </is>
      </c>
    </row>
    <row r="6" ht="22" customHeight="1">
      <c r="A6" s="35" t="n"/>
      <c r="B6" s="35" t="n"/>
      <c r="C6" s="35" t="n"/>
      <c r="D6" s="35">
        <f>IF(D5="","",CHOOSE(WEEKDAY(DATE('Paramètres'!$B$5,11,1),2),"Lun","Mar","Mer","Jeu","Ven","Sam","Dim"))</f>
        <v/>
      </c>
      <c r="E6" s="35">
        <f>IF(E5="","",CHOOSE(WEEKDAY(DATE('Paramètres'!$B$5,11,2),2),"Lun","Mar","Mer","Jeu","Ven","Sam","Dim"))</f>
        <v/>
      </c>
      <c r="F6" s="35">
        <f>IF(F5="","",CHOOSE(WEEKDAY(DATE('Paramètres'!$B$5,11,3),2),"Lun","Mar","Mer","Jeu","Ven","Sam","Dim"))</f>
        <v/>
      </c>
      <c r="G6" s="35">
        <f>IF(G5="","",CHOOSE(WEEKDAY(DATE('Paramètres'!$B$5,11,4),2),"Lun","Mar","Mer","Jeu","Ven","Sam","Dim"))</f>
        <v/>
      </c>
      <c r="H6" s="35">
        <f>IF(H5="","",CHOOSE(WEEKDAY(DATE('Paramètres'!$B$5,11,5),2),"Lun","Mar","Mer","Jeu","Ven","Sam","Dim"))</f>
        <v/>
      </c>
      <c r="I6" s="35">
        <f>IF(I5="","",CHOOSE(WEEKDAY(DATE('Paramètres'!$B$5,11,6),2),"Lun","Mar","Mer","Jeu","Ven","Sam","Dim"))</f>
        <v/>
      </c>
      <c r="J6" s="35">
        <f>IF(J5="","",CHOOSE(WEEKDAY(DATE('Paramètres'!$B$5,11,7),2),"Lun","Mar","Mer","Jeu","Ven","Sam","Dim"))</f>
        <v/>
      </c>
      <c r="K6" s="35">
        <f>IF(K5="","",CHOOSE(WEEKDAY(DATE('Paramètres'!$B$5,11,8),2),"Lun","Mar","Mer","Jeu","Ven","Sam","Dim"))</f>
        <v/>
      </c>
      <c r="L6" s="35">
        <f>IF(L5="","",CHOOSE(WEEKDAY(DATE('Paramètres'!$B$5,11,9),2),"Lun","Mar","Mer","Jeu","Ven","Sam","Dim"))</f>
        <v/>
      </c>
      <c r="M6" s="35">
        <f>IF(M5="","",CHOOSE(WEEKDAY(DATE('Paramètres'!$B$5,11,10),2),"Lun","Mar","Mer","Jeu","Ven","Sam","Dim"))</f>
        <v/>
      </c>
      <c r="N6" s="35">
        <f>IF(N5="","",CHOOSE(WEEKDAY(DATE('Paramètres'!$B$5,11,11),2),"Lun","Mar","Mer","Jeu","Ven","Sam","Dim"))</f>
        <v/>
      </c>
      <c r="O6" s="35">
        <f>IF(O5="","",CHOOSE(WEEKDAY(DATE('Paramètres'!$B$5,11,12),2),"Lun","Mar","Mer","Jeu","Ven","Sam","Dim"))</f>
        <v/>
      </c>
      <c r="P6" s="35">
        <f>IF(P5="","",CHOOSE(WEEKDAY(DATE('Paramètres'!$B$5,11,13),2),"Lun","Mar","Mer","Jeu","Ven","Sam","Dim"))</f>
        <v/>
      </c>
      <c r="Q6" s="35">
        <f>IF(Q5="","",CHOOSE(WEEKDAY(DATE('Paramètres'!$B$5,11,14),2),"Lun","Mar","Mer","Jeu","Ven","Sam","Dim"))</f>
        <v/>
      </c>
      <c r="R6" s="35">
        <f>IF(R5="","",CHOOSE(WEEKDAY(DATE('Paramètres'!$B$5,11,15),2),"Lun","Mar","Mer","Jeu","Ven","Sam","Dim"))</f>
        <v/>
      </c>
      <c r="S6" s="35">
        <f>IF(S5="","",CHOOSE(WEEKDAY(DATE('Paramètres'!$B$5,11,16),2),"Lun","Mar","Mer","Jeu","Ven","Sam","Dim"))</f>
        <v/>
      </c>
      <c r="T6" s="35">
        <f>IF(T5="","",CHOOSE(WEEKDAY(DATE('Paramètres'!$B$5,11,17),2),"Lun","Mar","Mer","Jeu","Ven","Sam","Dim"))</f>
        <v/>
      </c>
      <c r="U6" s="35">
        <f>IF(U5="","",CHOOSE(WEEKDAY(DATE('Paramètres'!$B$5,11,18),2),"Lun","Mar","Mer","Jeu","Ven","Sam","Dim"))</f>
        <v/>
      </c>
      <c r="V6" s="35">
        <f>IF(V5="","",CHOOSE(WEEKDAY(DATE('Paramètres'!$B$5,11,19),2),"Lun","Mar","Mer","Jeu","Ven","Sam","Dim"))</f>
        <v/>
      </c>
      <c r="W6" s="35">
        <f>IF(W5="","",CHOOSE(WEEKDAY(DATE('Paramètres'!$B$5,11,20),2),"Lun","Mar","Mer","Jeu","Ven","Sam","Dim"))</f>
        <v/>
      </c>
      <c r="X6" s="35">
        <f>IF(X5="","",CHOOSE(WEEKDAY(DATE('Paramètres'!$B$5,11,21),2),"Lun","Mar","Mer","Jeu","Ven","Sam","Dim"))</f>
        <v/>
      </c>
      <c r="Y6" s="35">
        <f>IF(Y5="","",CHOOSE(WEEKDAY(DATE('Paramètres'!$B$5,11,22),2),"Lun","Mar","Mer","Jeu","Ven","Sam","Dim"))</f>
        <v/>
      </c>
      <c r="Z6" s="35">
        <f>IF(Z5="","",CHOOSE(WEEKDAY(DATE('Paramètres'!$B$5,11,23),2),"Lun","Mar","Mer","Jeu","Ven","Sam","Dim"))</f>
        <v/>
      </c>
      <c r="AA6" s="35">
        <f>IF(AA5="","",CHOOSE(WEEKDAY(DATE('Paramètres'!$B$5,11,24),2),"Lun","Mar","Mer","Jeu","Ven","Sam","Dim"))</f>
        <v/>
      </c>
      <c r="AB6" s="35">
        <f>IF(AB5="","",CHOOSE(WEEKDAY(DATE('Paramètres'!$B$5,11,25),2),"Lun","Mar","Mer","Jeu","Ven","Sam","Dim"))</f>
        <v/>
      </c>
      <c r="AC6" s="35">
        <f>IF(AC5="","",CHOOSE(WEEKDAY(DATE('Paramètres'!$B$5,11,26),2),"Lun","Mar","Mer","Jeu","Ven","Sam","Dim"))</f>
        <v/>
      </c>
      <c r="AD6" s="35">
        <f>IF(AD5="","",CHOOSE(WEEKDAY(DATE('Paramètres'!$B$5,11,27),2),"Lun","Mar","Mer","Jeu","Ven","Sam","Dim"))</f>
        <v/>
      </c>
      <c r="AE6" s="35">
        <f>IF(AE5="","",CHOOSE(WEEKDAY(DATE('Paramètres'!$B$5,11,28),2),"Lun","Mar","Mer","Jeu","Ven","Sam","Dim"))</f>
        <v/>
      </c>
      <c r="AF6" s="35">
        <f>IF(AF5="","",CHOOSE(WEEKDAY(DATE('Paramètres'!$B$5,11,29),2),"Lun","Mar","Mer","Jeu","Ven","Sam","Dim"))</f>
        <v/>
      </c>
      <c r="AG6" s="35">
        <f>IF(AG5="","",CHOOSE(WEEKDAY(DATE('Paramètres'!$B$5,11,30),2),"Lun","Mar","Mer","Jeu","Ven","Sam","Dim"))</f>
        <v/>
      </c>
      <c r="AH6" s="35">
        <f>IF(AH5="","",CHOOSE(WEEKDAY(DATE('Paramètres'!$B$5,11,31),2),"Lun","Mar","Mer","Jeu","Ven","Sam","Dim"))</f>
        <v/>
      </c>
      <c r="AI6" s="36" t="n"/>
      <c r="AJ6" s="36" t="n"/>
      <c r="AK6" s="36" t="n"/>
      <c r="AL6" s="36" t="n"/>
      <c r="AM6" s="36" t="n"/>
      <c r="AN6" s="36" t="n"/>
      <c r="AO6" s="36" t="n"/>
    </row>
    <row r="7" ht="20" customHeight="1">
      <c r="A7" s="37">
        <f>IF('Employés'!B5="","",'Employés'!A5)</f>
        <v/>
      </c>
      <c r="B7" s="38">
        <f>IF('Employés'!B5="","",'Employés'!B5)</f>
        <v/>
      </c>
      <c r="C7" s="38">
        <f>IF('Employés'!C5="","",'Employés'!C5)</f>
        <v/>
      </c>
      <c r="D7" s="37" t="n"/>
      <c r="E7" s="37" t="n"/>
      <c r="F7" s="37" t="n"/>
      <c r="G7" s="37" t="n"/>
      <c r="H7" s="37" t="n"/>
      <c r="I7" s="37" t="n"/>
      <c r="J7" s="37" t="n"/>
      <c r="K7" s="37" t="n"/>
      <c r="L7" s="37" t="n"/>
      <c r="M7" s="37" t="n"/>
      <c r="N7" s="37" t="n"/>
      <c r="O7" s="37" t="n"/>
      <c r="P7" s="37" t="n"/>
      <c r="Q7" s="37" t="n"/>
      <c r="R7" s="37" t="n"/>
      <c r="S7" s="37" t="n"/>
      <c r="T7" s="37" t="n"/>
      <c r="U7" s="37" t="n"/>
      <c r="V7" s="37" t="n"/>
      <c r="W7" s="37" t="n"/>
      <c r="X7" s="37" t="n"/>
      <c r="Y7" s="37" t="n"/>
      <c r="Z7" s="37" t="n"/>
      <c r="AA7" s="37" t="n"/>
      <c r="AB7" s="37" t="n"/>
      <c r="AC7" s="37" t="n"/>
      <c r="AD7" s="37" t="n"/>
      <c r="AE7" s="37" t="n"/>
      <c r="AF7" s="37" t="n"/>
      <c r="AG7" s="37" t="n"/>
      <c r="AH7" s="37" t="n"/>
      <c r="AI7" s="39">
        <f>IF($B7="","",COUNTIF(D7:AH7,"P"))</f>
        <v/>
      </c>
      <c r="AJ7" s="39">
        <f>IF($B7="","",COUNTIF(D7:AH7,"R"))</f>
        <v/>
      </c>
      <c r="AK7" s="39">
        <f>IF($B7="","",COUNTIF(D7:AH7,"A"))</f>
        <v/>
      </c>
      <c r="AL7" s="39">
        <f>IF($B7="","",COUNTIF(D7:AH7,"C"))</f>
        <v/>
      </c>
      <c r="AM7" s="39">
        <f>IF($B7="","",COUNTIF(D7:AH7,"M"))</f>
        <v/>
      </c>
      <c r="AN7" s="40">
        <f>IF($B7="","",IF(AI7+AJ7+AK7+AM7=0,"",(AI7+AJ7)/(AI7+AJ7+AK7+AM7)))</f>
        <v/>
      </c>
      <c r="AO7" s="41">
        <f>IF($B7="","",IF('Employés'!D5="","",(AI7+AJ7+AL7)*'Employés'!D5))</f>
        <v/>
      </c>
    </row>
    <row r="8" ht="20" customHeight="1">
      <c r="A8" s="37">
        <f>IF('Employés'!B6="","",'Employés'!A6)</f>
        <v/>
      </c>
      <c r="B8" s="38">
        <f>IF('Employés'!B6="","",'Employés'!B6)</f>
        <v/>
      </c>
      <c r="C8" s="38">
        <f>IF('Employés'!C6="","",'Employés'!C6)</f>
        <v/>
      </c>
      <c r="D8" s="37" t="n"/>
      <c r="E8" s="37" t="n"/>
      <c r="F8" s="37" t="n"/>
      <c r="G8" s="37" t="n"/>
      <c r="H8" s="37" t="n"/>
      <c r="I8" s="37" t="n"/>
      <c r="J8" s="37" t="n"/>
      <c r="K8" s="37" t="n"/>
      <c r="L8" s="37" t="n"/>
      <c r="M8" s="37" t="n"/>
      <c r="N8" s="37" t="n"/>
      <c r="O8" s="37" t="n"/>
      <c r="P8" s="37" t="n"/>
      <c r="Q8" s="37" t="n"/>
      <c r="R8" s="37" t="n"/>
      <c r="S8" s="37" t="n"/>
      <c r="T8" s="37" t="n"/>
      <c r="U8" s="37" t="n"/>
      <c r="V8" s="37" t="n"/>
      <c r="W8" s="37" t="n"/>
      <c r="X8" s="37" t="n"/>
      <c r="Y8" s="37" t="n"/>
      <c r="Z8" s="37" t="n"/>
      <c r="AA8" s="37" t="n"/>
      <c r="AB8" s="37" t="n"/>
      <c r="AC8" s="37" t="n"/>
      <c r="AD8" s="37" t="n"/>
      <c r="AE8" s="37" t="n"/>
      <c r="AF8" s="37" t="n"/>
      <c r="AG8" s="37" t="n"/>
      <c r="AH8" s="37" t="n"/>
      <c r="AI8" s="39">
        <f>IF($B8="","",COUNTIF(D8:AH8,"P"))</f>
        <v/>
      </c>
      <c r="AJ8" s="39">
        <f>IF($B8="","",COUNTIF(D8:AH8,"R"))</f>
        <v/>
      </c>
      <c r="AK8" s="39">
        <f>IF($B8="","",COUNTIF(D8:AH8,"A"))</f>
        <v/>
      </c>
      <c r="AL8" s="39">
        <f>IF($B8="","",COUNTIF(D8:AH8,"C"))</f>
        <v/>
      </c>
      <c r="AM8" s="39">
        <f>IF($B8="","",COUNTIF(D8:AH8,"M"))</f>
        <v/>
      </c>
      <c r="AN8" s="40">
        <f>IF($B8="","",IF(AI8+AJ8+AK8+AM8=0,"",(AI8+AJ8)/(AI8+AJ8+AK8+AM8)))</f>
        <v/>
      </c>
      <c r="AO8" s="41">
        <f>IF($B8="","",IF('Employés'!D6="","",(AI8+AJ8+AL8)*'Employés'!D6))</f>
        <v/>
      </c>
    </row>
    <row r="9" ht="20" customHeight="1">
      <c r="A9" s="37">
        <f>IF('Employés'!B7="","",'Employés'!A7)</f>
        <v/>
      </c>
      <c r="B9" s="38">
        <f>IF('Employés'!B7="","",'Employés'!B7)</f>
        <v/>
      </c>
      <c r="C9" s="38">
        <f>IF('Employés'!C7="","",'Employés'!C7)</f>
        <v/>
      </c>
      <c r="D9" s="37" t="n"/>
      <c r="E9" s="37" t="n"/>
      <c r="F9" s="37" t="n"/>
      <c r="G9" s="37" t="n"/>
      <c r="H9" s="37" t="n"/>
      <c r="I9" s="37" t="n"/>
      <c r="J9" s="37" t="n"/>
      <c r="K9" s="37" t="n"/>
      <c r="L9" s="37" t="n"/>
      <c r="M9" s="37" t="n"/>
      <c r="N9" s="37" t="n"/>
      <c r="O9" s="37" t="n"/>
      <c r="P9" s="37" t="n"/>
      <c r="Q9" s="37" t="n"/>
      <c r="R9" s="37" t="n"/>
      <c r="S9" s="37" t="n"/>
      <c r="T9" s="37" t="n"/>
      <c r="U9" s="37" t="n"/>
      <c r="V9" s="37" t="n"/>
      <c r="W9" s="37" t="n"/>
      <c r="X9" s="37" t="n"/>
      <c r="Y9" s="37" t="n"/>
      <c r="Z9" s="37" t="n"/>
      <c r="AA9" s="37" t="n"/>
      <c r="AB9" s="37" t="n"/>
      <c r="AC9" s="37" t="n"/>
      <c r="AD9" s="37" t="n"/>
      <c r="AE9" s="37" t="n"/>
      <c r="AF9" s="37" t="n"/>
      <c r="AG9" s="37" t="n"/>
      <c r="AH9" s="37" t="n"/>
      <c r="AI9" s="39">
        <f>IF($B9="","",COUNTIF(D9:AH9,"P"))</f>
        <v/>
      </c>
      <c r="AJ9" s="39">
        <f>IF($B9="","",COUNTIF(D9:AH9,"R"))</f>
        <v/>
      </c>
      <c r="AK9" s="39">
        <f>IF($B9="","",COUNTIF(D9:AH9,"A"))</f>
        <v/>
      </c>
      <c r="AL9" s="39">
        <f>IF($B9="","",COUNTIF(D9:AH9,"C"))</f>
        <v/>
      </c>
      <c r="AM9" s="39">
        <f>IF($B9="","",COUNTIF(D9:AH9,"M"))</f>
        <v/>
      </c>
      <c r="AN9" s="40">
        <f>IF($B9="","",IF(AI9+AJ9+AK9+AM9=0,"",(AI9+AJ9)/(AI9+AJ9+AK9+AM9)))</f>
        <v/>
      </c>
      <c r="AO9" s="41">
        <f>IF($B9="","",IF('Employés'!D7="","",(AI9+AJ9+AL9)*'Employés'!D7))</f>
        <v/>
      </c>
    </row>
    <row r="10" ht="20" customHeight="1">
      <c r="A10" s="37">
        <f>IF('Employés'!B8="","",'Employés'!A8)</f>
        <v/>
      </c>
      <c r="B10" s="38">
        <f>IF('Employés'!B8="","",'Employés'!B8)</f>
        <v/>
      </c>
      <c r="C10" s="38">
        <f>IF('Employés'!C8="","",'Employés'!C8)</f>
        <v/>
      </c>
      <c r="D10" s="37" t="n"/>
      <c r="E10" s="37" t="n"/>
      <c r="F10" s="37" t="n"/>
      <c r="G10" s="37" t="n"/>
      <c r="H10" s="37" t="n"/>
      <c r="I10" s="37" t="n"/>
      <c r="J10" s="37" t="n"/>
      <c r="K10" s="37" t="n"/>
      <c r="L10" s="37" t="n"/>
      <c r="M10" s="37" t="n"/>
      <c r="N10" s="37" t="n"/>
      <c r="O10" s="37" t="n"/>
      <c r="P10" s="37" t="n"/>
      <c r="Q10" s="37" t="n"/>
      <c r="R10" s="37" t="n"/>
      <c r="S10" s="37" t="n"/>
      <c r="T10" s="37" t="n"/>
      <c r="U10" s="37" t="n"/>
      <c r="V10" s="37" t="n"/>
      <c r="W10" s="37" t="n"/>
      <c r="X10" s="37" t="n"/>
      <c r="Y10" s="37" t="n"/>
      <c r="Z10" s="37" t="n"/>
      <c r="AA10" s="37" t="n"/>
      <c r="AB10" s="37" t="n"/>
      <c r="AC10" s="37" t="n"/>
      <c r="AD10" s="37" t="n"/>
      <c r="AE10" s="37" t="n"/>
      <c r="AF10" s="37" t="n"/>
      <c r="AG10" s="37" t="n"/>
      <c r="AH10" s="37" t="n"/>
      <c r="AI10" s="39">
        <f>IF($B10="","",COUNTIF(D10:AH10,"P"))</f>
        <v/>
      </c>
      <c r="AJ10" s="39">
        <f>IF($B10="","",COUNTIF(D10:AH10,"R"))</f>
        <v/>
      </c>
      <c r="AK10" s="39">
        <f>IF($B10="","",COUNTIF(D10:AH10,"A"))</f>
        <v/>
      </c>
      <c r="AL10" s="39">
        <f>IF($B10="","",COUNTIF(D10:AH10,"C"))</f>
        <v/>
      </c>
      <c r="AM10" s="39">
        <f>IF($B10="","",COUNTIF(D10:AH10,"M"))</f>
        <v/>
      </c>
      <c r="AN10" s="40">
        <f>IF($B10="","",IF(AI10+AJ10+AK10+AM10=0,"",(AI10+AJ10)/(AI10+AJ10+AK10+AM10)))</f>
        <v/>
      </c>
      <c r="AO10" s="41">
        <f>IF($B10="","",IF('Employés'!D8="","",(AI10+AJ10+AL10)*'Employés'!D8))</f>
        <v/>
      </c>
    </row>
    <row r="11" ht="20" customHeight="1">
      <c r="A11" s="37">
        <f>IF('Employés'!B9="","",'Employés'!A9)</f>
        <v/>
      </c>
      <c r="B11" s="38">
        <f>IF('Employés'!B9="","",'Employés'!B9)</f>
        <v/>
      </c>
      <c r="C11" s="38">
        <f>IF('Employés'!C9="","",'Employés'!C9)</f>
        <v/>
      </c>
      <c r="D11" s="37" t="n"/>
      <c r="E11" s="37" t="n"/>
      <c r="F11" s="37" t="n"/>
      <c r="G11" s="37" t="n"/>
      <c r="H11" s="37" t="n"/>
      <c r="I11" s="37" t="n"/>
      <c r="J11" s="37" t="n"/>
      <c r="K11" s="37" t="n"/>
      <c r="L11" s="37" t="n"/>
      <c r="M11" s="37" t="n"/>
      <c r="N11" s="37" t="n"/>
      <c r="O11" s="37" t="n"/>
      <c r="P11" s="37" t="n"/>
      <c r="Q11" s="37" t="n"/>
      <c r="R11" s="37" t="n"/>
      <c r="S11" s="37" t="n"/>
      <c r="T11" s="37" t="n"/>
      <c r="U11" s="37" t="n"/>
      <c r="V11" s="37" t="n"/>
      <c r="W11" s="37" t="n"/>
      <c r="X11" s="37" t="n"/>
      <c r="Y11" s="37" t="n"/>
      <c r="Z11" s="37" t="n"/>
      <c r="AA11" s="37" t="n"/>
      <c r="AB11" s="37" t="n"/>
      <c r="AC11" s="37" t="n"/>
      <c r="AD11" s="37" t="n"/>
      <c r="AE11" s="37" t="n"/>
      <c r="AF11" s="37" t="n"/>
      <c r="AG11" s="37" t="n"/>
      <c r="AH11" s="37" t="n"/>
      <c r="AI11" s="39">
        <f>IF($B11="","",COUNTIF(D11:AH11,"P"))</f>
        <v/>
      </c>
      <c r="AJ11" s="39">
        <f>IF($B11="","",COUNTIF(D11:AH11,"R"))</f>
        <v/>
      </c>
      <c r="AK11" s="39">
        <f>IF($B11="","",COUNTIF(D11:AH11,"A"))</f>
        <v/>
      </c>
      <c r="AL11" s="39">
        <f>IF($B11="","",COUNTIF(D11:AH11,"C"))</f>
        <v/>
      </c>
      <c r="AM11" s="39">
        <f>IF($B11="","",COUNTIF(D11:AH11,"M"))</f>
        <v/>
      </c>
      <c r="AN11" s="40">
        <f>IF($B11="","",IF(AI11+AJ11+AK11+AM11=0,"",(AI11+AJ11)/(AI11+AJ11+AK11+AM11)))</f>
        <v/>
      </c>
      <c r="AO11" s="41">
        <f>IF($B11="","",IF('Employés'!D9="","",(AI11+AJ11+AL11)*'Employés'!D9))</f>
        <v/>
      </c>
    </row>
    <row r="12" ht="20" customHeight="1">
      <c r="A12" s="37">
        <f>IF('Employés'!B10="","",'Employés'!A10)</f>
        <v/>
      </c>
      <c r="B12" s="38">
        <f>IF('Employés'!B10="","",'Employés'!B10)</f>
        <v/>
      </c>
      <c r="C12" s="38">
        <f>IF('Employés'!C10="","",'Employés'!C10)</f>
        <v/>
      </c>
      <c r="D12" s="37" t="n"/>
      <c r="E12" s="37" t="n"/>
      <c r="F12" s="37" t="n"/>
      <c r="G12" s="37" t="n"/>
      <c r="H12" s="37" t="n"/>
      <c r="I12" s="37" t="n"/>
      <c r="J12" s="37" t="n"/>
      <c r="K12" s="37" t="n"/>
      <c r="L12" s="37" t="n"/>
      <c r="M12" s="37" t="n"/>
      <c r="N12" s="37" t="n"/>
      <c r="O12" s="37" t="n"/>
      <c r="P12" s="37" t="n"/>
      <c r="Q12" s="37" t="n"/>
      <c r="R12" s="37" t="n"/>
      <c r="S12" s="37" t="n"/>
      <c r="T12" s="37" t="n"/>
      <c r="U12" s="37" t="n"/>
      <c r="V12" s="37" t="n"/>
      <c r="W12" s="37" t="n"/>
      <c r="X12" s="37" t="n"/>
      <c r="Y12" s="37" t="n"/>
      <c r="Z12" s="37" t="n"/>
      <c r="AA12" s="37" t="n"/>
      <c r="AB12" s="37" t="n"/>
      <c r="AC12" s="37" t="n"/>
      <c r="AD12" s="37" t="n"/>
      <c r="AE12" s="37" t="n"/>
      <c r="AF12" s="37" t="n"/>
      <c r="AG12" s="37" t="n"/>
      <c r="AH12" s="37" t="n"/>
      <c r="AI12" s="39">
        <f>IF($B12="","",COUNTIF(D12:AH12,"P"))</f>
        <v/>
      </c>
      <c r="AJ12" s="39">
        <f>IF($B12="","",COUNTIF(D12:AH12,"R"))</f>
        <v/>
      </c>
      <c r="AK12" s="39">
        <f>IF($B12="","",COUNTIF(D12:AH12,"A"))</f>
        <v/>
      </c>
      <c r="AL12" s="39">
        <f>IF($B12="","",COUNTIF(D12:AH12,"C"))</f>
        <v/>
      </c>
      <c r="AM12" s="39">
        <f>IF($B12="","",COUNTIF(D12:AH12,"M"))</f>
        <v/>
      </c>
      <c r="AN12" s="40">
        <f>IF($B12="","",IF(AI12+AJ12+AK12+AM12=0,"",(AI12+AJ12)/(AI12+AJ12+AK12+AM12)))</f>
        <v/>
      </c>
      <c r="AO12" s="41">
        <f>IF($B12="","",IF('Employés'!D10="","",(AI12+AJ12+AL12)*'Employés'!D10))</f>
        <v/>
      </c>
    </row>
    <row r="13" ht="20" customHeight="1">
      <c r="A13" s="37">
        <f>IF('Employés'!B11="","",'Employés'!A11)</f>
        <v/>
      </c>
      <c r="B13" s="38">
        <f>IF('Employés'!B11="","",'Employés'!B11)</f>
        <v/>
      </c>
      <c r="C13" s="38">
        <f>IF('Employés'!C11="","",'Employés'!C11)</f>
        <v/>
      </c>
      <c r="D13" s="37" t="n"/>
      <c r="E13" s="37" t="n"/>
      <c r="F13" s="37" t="n"/>
      <c r="G13" s="37" t="n"/>
      <c r="H13" s="37" t="n"/>
      <c r="I13" s="37" t="n"/>
      <c r="J13" s="37" t="n"/>
      <c r="K13" s="37" t="n"/>
      <c r="L13" s="37" t="n"/>
      <c r="M13" s="37" t="n"/>
      <c r="N13" s="37" t="n"/>
      <c r="O13" s="37" t="n"/>
      <c r="P13" s="37" t="n"/>
      <c r="Q13" s="37" t="n"/>
      <c r="R13" s="37" t="n"/>
      <c r="S13" s="37" t="n"/>
      <c r="T13" s="37" t="n"/>
      <c r="U13" s="37" t="n"/>
      <c r="V13" s="37" t="n"/>
      <c r="W13" s="37" t="n"/>
      <c r="X13" s="37" t="n"/>
      <c r="Y13" s="37" t="n"/>
      <c r="Z13" s="37" t="n"/>
      <c r="AA13" s="37" t="n"/>
      <c r="AB13" s="37" t="n"/>
      <c r="AC13" s="37" t="n"/>
      <c r="AD13" s="37" t="n"/>
      <c r="AE13" s="37" t="n"/>
      <c r="AF13" s="37" t="n"/>
      <c r="AG13" s="37" t="n"/>
      <c r="AH13" s="37" t="n"/>
      <c r="AI13" s="39">
        <f>IF($B13="","",COUNTIF(D13:AH13,"P"))</f>
        <v/>
      </c>
      <c r="AJ13" s="39">
        <f>IF($B13="","",COUNTIF(D13:AH13,"R"))</f>
        <v/>
      </c>
      <c r="AK13" s="39">
        <f>IF($B13="","",COUNTIF(D13:AH13,"A"))</f>
        <v/>
      </c>
      <c r="AL13" s="39">
        <f>IF($B13="","",COUNTIF(D13:AH13,"C"))</f>
        <v/>
      </c>
      <c r="AM13" s="39">
        <f>IF($B13="","",COUNTIF(D13:AH13,"M"))</f>
        <v/>
      </c>
      <c r="AN13" s="40">
        <f>IF($B13="","",IF(AI13+AJ13+AK13+AM13=0,"",(AI13+AJ13)/(AI13+AJ13+AK13+AM13)))</f>
        <v/>
      </c>
      <c r="AO13" s="41">
        <f>IF($B13="","",IF('Employés'!D11="","",(AI13+AJ13+AL13)*'Employés'!D11))</f>
        <v/>
      </c>
    </row>
    <row r="14" ht="20" customHeight="1">
      <c r="A14" s="37">
        <f>IF('Employés'!B12="","",'Employés'!A12)</f>
        <v/>
      </c>
      <c r="B14" s="38">
        <f>IF('Employés'!B12="","",'Employés'!B12)</f>
        <v/>
      </c>
      <c r="C14" s="38">
        <f>IF('Employés'!C12="","",'Employés'!C12)</f>
        <v/>
      </c>
      <c r="D14" s="37" t="n"/>
      <c r="E14" s="37" t="n"/>
      <c r="F14" s="37" t="n"/>
      <c r="G14" s="37" t="n"/>
      <c r="H14" s="37" t="n"/>
      <c r="I14" s="37" t="n"/>
      <c r="J14" s="37" t="n"/>
      <c r="K14" s="37" t="n"/>
      <c r="L14" s="37" t="n"/>
      <c r="M14" s="37" t="n"/>
      <c r="N14" s="37" t="n"/>
      <c r="O14" s="37" t="n"/>
      <c r="P14" s="37" t="n"/>
      <c r="Q14" s="37" t="n"/>
      <c r="R14" s="37" t="n"/>
      <c r="S14" s="37" t="n"/>
      <c r="T14" s="37" t="n"/>
      <c r="U14" s="37" t="n"/>
      <c r="V14" s="37" t="n"/>
      <c r="W14" s="37" t="n"/>
      <c r="X14" s="37" t="n"/>
      <c r="Y14" s="37" t="n"/>
      <c r="Z14" s="37" t="n"/>
      <c r="AA14" s="37" t="n"/>
      <c r="AB14" s="37" t="n"/>
      <c r="AC14" s="37" t="n"/>
      <c r="AD14" s="37" t="n"/>
      <c r="AE14" s="37" t="n"/>
      <c r="AF14" s="37" t="n"/>
      <c r="AG14" s="37" t="n"/>
      <c r="AH14" s="37" t="n"/>
      <c r="AI14" s="39">
        <f>IF($B14="","",COUNTIF(D14:AH14,"P"))</f>
        <v/>
      </c>
      <c r="AJ14" s="39">
        <f>IF($B14="","",COUNTIF(D14:AH14,"R"))</f>
        <v/>
      </c>
      <c r="AK14" s="39">
        <f>IF($B14="","",COUNTIF(D14:AH14,"A"))</f>
        <v/>
      </c>
      <c r="AL14" s="39">
        <f>IF($B14="","",COUNTIF(D14:AH14,"C"))</f>
        <v/>
      </c>
      <c r="AM14" s="39">
        <f>IF($B14="","",COUNTIF(D14:AH14,"M"))</f>
        <v/>
      </c>
      <c r="AN14" s="40">
        <f>IF($B14="","",IF(AI14+AJ14+AK14+AM14=0,"",(AI14+AJ14)/(AI14+AJ14+AK14+AM14)))</f>
        <v/>
      </c>
      <c r="AO14" s="41">
        <f>IF($B14="","",IF('Employés'!D12="","",(AI14+AJ14+AL14)*'Employés'!D12))</f>
        <v/>
      </c>
    </row>
    <row r="15" ht="20" customHeight="1">
      <c r="A15" s="37">
        <f>IF('Employés'!B13="","",'Employés'!A13)</f>
        <v/>
      </c>
      <c r="B15" s="38">
        <f>IF('Employés'!B13="","",'Employés'!B13)</f>
        <v/>
      </c>
      <c r="C15" s="38">
        <f>IF('Employés'!C13="","",'Employés'!C13)</f>
        <v/>
      </c>
      <c r="D15" s="37" t="n"/>
      <c r="E15" s="37" t="n"/>
      <c r="F15" s="37" t="n"/>
      <c r="G15" s="37" t="n"/>
      <c r="H15" s="37" t="n"/>
      <c r="I15" s="37" t="n"/>
      <c r="J15" s="37" t="n"/>
      <c r="K15" s="37" t="n"/>
      <c r="L15" s="37" t="n"/>
      <c r="M15" s="37" t="n"/>
      <c r="N15" s="37" t="n"/>
      <c r="O15" s="37" t="n"/>
      <c r="P15" s="37" t="n"/>
      <c r="Q15" s="37" t="n"/>
      <c r="R15" s="37" t="n"/>
      <c r="S15" s="37" t="n"/>
      <c r="T15" s="37" t="n"/>
      <c r="U15" s="37" t="n"/>
      <c r="V15" s="37" t="n"/>
      <c r="W15" s="37" t="n"/>
      <c r="X15" s="37" t="n"/>
      <c r="Y15" s="37" t="n"/>
      <c r="Z15" s="37" t="n"/>
      <c r="AA15" s="37" t="n"/>
      <c r="AB15" s="37" t="n"/>
      <c r="AC15" s="37" t="n"/>
      <c r="AD15" s="37" t="n"/>
      <c r="AE15" s="37" t="n"/>
      <c r="AF15" s="37" t="n"/>
      <c r="AG15" s="37" t="n"/>
      <c r="AH15" s="37" t="n"/>
      <c r="AI15" s="39">
        <f>IF($B15="","",COUNTIF(D15:AH15,"P"))</f>
        <v/>
      </c>
      <c r="AJ15" s="39">
        <f>IF($B15="","",COUNTIF(D15:AH15,"R"))</f>
        <v/>
      </c>
      <c r="AK15" s="39">
        <f>IF($B15="","",COUNTIF(D15:AH15,"A"))</f>
        <v/>
      </c>
      <c r="AL15" s="39">
        <f>IF($B15="","",COUNTIF(D15:AH15,"C"))</f>
        <v/>
      </c>
      <c r="AM15" s="39">
        <f>IF($B15="","",COUNTIF(D15:AH15,"M"))</f>
        <v/>
      </c>
      <c r="AN15" s="40">
        <f>IF($B15="","",IF(AI15+AJ15+AK15+AM15=0,"",(AI15+AJ15)/(AI15+AJ15+AK15+AM15)))</f>
        <v/>
      </c>
      <c r="AO15" s="41">
        <f>IF($B15="","",IF('Employés'!D13="","",(AI15+AJ15+AL15)*'Employés'!D13))</f>
        <v/>
      </c>
    </row>
    <row r="16" ht="20" customHeight="1">
      <c r="A16" s="37">
        <f>IF('Employés'!B14="","",'Employés'!A14)</f>
        <v/>
      </c>
      <c r="B16" s="38">
        <f>IF('Employés'!B14="","",'Employés'!B14)</f>
        <v/>
      </c>
      <c r="C16" s="38">
        <f>IF('Employés'!C14="","",'Employés'!C14)</f>
        <v/>
      </c>
      <c r="D16" s="37" t="n"/>
      <c r="E16" s="37" t="n"/>
      <c r="F16" s="37" t="n"/>
      <c r="G16" s="37" t="n"/>
      <c r="H16" s="37" t="n"/>
      <c r="I16" s="37" t="n"/>
      <c r="J16" s="37" t="n"/>
      <c r="K16" s="37" t="n"/>
      <c r="L16" s="37" t="n"/>
      <c r="M16" s="37" t="n"/>
      <c r="N16" s="37" t="n"/>
      <c r="O16" s="37" t="n"/>
      <c r="P16" s="37" t="n"/>
      <c r="Q16" s="37" t="n"/>
      <c r="R16" s="37" t="n"/>
      <c r="S16" s="37" t="n"/>
      <c r="T16" s="37" t="n"/>
      <c r="U16" s="37" t="n"/>
      <c r="V16" s="37" t="n"/>
      <c r="W16" s="37" t="n"/>
      <c r="X16" s="37" t="n"/>
      <c r="Y16" s="37" t="n"/>
      <c r="Z16" s="37" t="n"/>
      <c r="AA16" s="37" t="n"/>
      <c r="AB16" s="37" t="n"/>
      <c r="AC16" s="37" t="n"/>
      <c r="AD16" s="37" t="n"/>
      <c r="AE16" s="37" t="n"/>
      <c r="AF16" s="37" t="n"/>
      <c r="AG16" s="37" t="n"/>
      <c r="AH16" s="37" t="n"/>
      <c r="AI16" s="39">
        <f>IF($B16="","",COUNTIF(D16:AH16,"P"))</f>
        <v/>
      </c>
      <c r="AJ16" s="39">
        <f>IF($B16="","",COUNTIF(D16:AH16,"R"))</f>
        <v/>
      </c>
      <c r="AK16" s="39">
        <f>IF($B16="","",COUNTIF(D16:AH16,"A"))</f>
        <v/>
      </c>
      <c r="AL16" s="39">
        <f>IF($B16="","",COUNTIF(D16:AH16,"C"))</f>
        <v/>
      </c>
      <c r="AM16" s="39">
        <f>IF($B16="","",COUNTIF(D16:AH16,"M"))</f>
        <v/>
      </c>
      <c r="AN16" s="40">
        <f>IF($B16="","",IF(AI16+AJ16+AK16+AM16=0,"",(AI16+AJ16)/(AI16+AJ16+AK16+AM16)))</f>
        <v/>
      </c>
      <c r="AO16" s="41">
        <f>IF($B16="","",IF('Employés'!D14="","",(AI16+AJ16+AL16)*'Employés'!D14))</f>
        <v/>
      </c>
    </row>
    <row r="17" ht="20" customHeight="1">
      <c r="A17" s="37">
        <f>IF('Employés'!B15="","",'Employés'!A15)</f>
        <v/>
      </c>
      <c r="B17" s="38">
        <f>IF('Employés'!B15="","",'Employés'!B15)</f>
        <v/>
      </c>
      <c r="C17" s="38">
        <f>IF('Employés'!C15="","",'Employés'!C15)</f>
        <v/>
      </c>
      <c r="D17" s="37" t="n"/>
      <c r="E17" s="37" t="n"/>
      <c r="F17" s="37" t="n"/>
      <c r="G17" s="37" t="n"/>
      <c r="H17" s="37" t="n"/>
      <c r="I17" s="37" t="n"/>
      <c r="J17" s="37" t="n"/>
      <c r="K17" s="37" t="n"/>
      <c r="L17" s="37" t="n"/>
      <c r="M17" s="37" t="n"/>
      <c r="N17" s="37" t="n"/>
      <c r="O17" s="37" t="n"/>
      <c r="P17" s="37" t="n"/>
      <c r="Q17" s="37" t="n"/>
      <c r="R17" s="37" t="n"/>
      <c r="S17" s="37" t="n"/>
      <c r="T17" s="37" t="n"/>
      <c r="U17" s="37" t="n"/>
      <c r="V17" s="37" t="n"/>
      <c r="W17" s="37" t="n"/>
      <c r="X17" s="37" t="n"/>
      <c r="Y17" s="37" t="n"/>
      <c r="Z17" s="37" t="n"/>
      <c r="AA17" s="37" t="n"/>
      <c r="AB17" s="37" t="n"/>
      <c r="AC17" s="37" t="n"/>
      <c r="AD17" s="37" t="n"/>
      <c r="AE17" s="37" t="n"/>
      <c r="AF17" s="37" t="n"/>
      <c r="AG17" s="37" t="n"/>
      <c r="AH17" s="37" t="n"/>
      <c r="AI17" s="39">
        <f>IF($B17="","",COUNTIF(D17:AH17,"P"))</f>
        <v/>
      </c>
      <c r="AJ17" s="39">
        <f>IF($B17="","",COUNTIF(D17:AH17,"R"))</f>
        <v/>
      </c>
      <c r="AK17" s="39">
        <f>IF($B17="","",COUNTIF(D17:AH17,"A"))</f>
        <v/>
      </c>
      <c r="AL17" s="39">
        <f>IF($B17="","",COUNTIF(D17:AH17,"C"))</f>
        <v/>
      </c>
      <c r="AM17" s="39">
        <f>IF($B17="","",COUNTIF(D17:AH17,"M"))</f>
        <v/>
      </c>
      <c r="AN17" s="40">
        <f>IF($B17="","",IF(AI17+AJ17+AK17+AM17=0,"",(AI17+AJ17)/(AI17+AJ17+AK17+AM17)))</f>
        <v/>
      </c>
      <c r="AO17" s="41">
        <f>IF($B17="","",IF('Employés'!D15="","",(AI17+AJ17+AL17)*'Employés'!D15))</f>
        <v/>
      </c>
    </row>
    <row r="18" ht="20" customHeight="1">
      <c r="A18" s="37">
        <f>IF('Employés'!B16="","",'Employés'!A16)</f>
        <v/>
      </c>
      <c r="B18" s="38">
        <f>IF('Employés'!B16="","",'Employés'!B16)</f>
        <v/>
      </c>
      <c r="C18" s="38">
        <f>IF('Employés'!C16="","",'Employés'!C16)</f>
        <v/>
      </c>
      <c r="D18" s="37" t="n"/>
      <c r="E18" s="37" t="n"/>
      <c r="F18" s="37" t="n"/>
      <c r="G18" s="37" t="n"/>
      <c r="H18" s="37" t="n"/>
      <c r="I18" s="37" t="n"/>
      <c r="J18" s="37" t="n"/>
      <c r="K18" s="37" t="n"/>
      <c r="L18" s="37" t="n"/>
      <c r="M18" s="37" t="n"/>
      <c r="N18" s="37" t="n"/>
      <c r="O18" s="37" t="n"/>
      <c r="P18" s="37" t="n"/>
      <c r="Q18" s="37" t="n"/>
      <c r="R18" s="37" t="n"/>
      <c r="S18" s="37" t="n"/>
      <c r="T18" s="37" t="n"/>
      <c r="U18" s="37" t="n"/>
      <c r="V18" s="37" t="n"/>
      <c r="W18" s="37" t="n"/>
      <c r="X18" s="37" t="n"/>
      <c r="Y18" s="37" t="n"/>
      <c r="Z18" s="37" t="n"/>
      <c r="AA18" s="37" t="n"/>
      <c r="AB18" s="37" t="n"/>
      <c r="AC18" s="37" t="n"/>
      <c r="AD18" s="37" t="n"/>
      <c r="AE18" s="37" t="n"/>
      <c r="AF18" s="37" t="n"/>
      <c r="AG18" s="37" t="n"/>
      <c r="AH18" s="37" t="n"/>
      <c r="AI18" s="39">
        <f>IF($B18="","",COUNTIF(D18:AH18,"P"))</f>
        <v/>
      </c>
      <c r="AJ18" s="39">
        <f>IF($B18="","",COUNTIF(D18:AH18,"R"))</f>
        <v/>
      </c>
      <c r="AK18" s="39">
        <f>IF($B18="","",COUNTIF(D18:AH18,"A"))</f>
        <v/>
      </c>
      <c r="AL18" s="39">
        <f>IF($B18="","",COUNTIF(D18:AH18,"C"))</f>
        <v/>
      </c>
      <c r="AM18" s="39">
        <f>IF($B18="","",COUNTIF(D18:AH18,"M"))</f>
        <v/>
      </c>
      <c r="AN18" s="40">
        <f>IF($B18="","",IF(AI18+AJ18+AK18+AM18=0,"",(AI18+AJ18)/(AI18+AJ18+AK18+AM18)))</f>
        <v/>
      </c>
      <c r="AO18" s="41">
        <f>IF($B18="","",IF('Employés'!D16="","",(AI18+AJ18+AL18)*'Employés'!D16))</f>
        <v/>
      </c>
    </row>
    <row r="19" ht="20" customHeight="1">
      <c r="A19" s="37">
        <f>IF('Employés'!B17="","",'Employés'!A17)</f>
        <v/>
      </c>
      <c r="B19" s="38">
        <f>IF('Employés'!B17="","",'Employés'!B17)</f>
        <v/>
      </c>
      <c r="C19" s="38">
        <f>IF('Employés'!C17="","",'Employés'!C17)</f>
        <v/>
      </c>
      <c r="D19" s="37" t="n"/>
      <c r="E19" s="37" t="n"/>
      <c r="F19" s="37" t="n"/>
      <c r="G19" s="37" t="n"/>
      <c r="H19" s="37" t="n"/>
      <c r="I19" s="37" t="n"/>
      <c r="J19" s="37" t="n"/>
      <c r="K19" s="37" t="n"/>
      <c r="L19" s="37" t="n"/>
      <c r="M19" s="37" t="n"/>
      <c r="N19" s="37" t="n"/>
      <c r="O19" s="37" t="n"/>
      <c r="P19" s="37" t="n"/>
      <c r="Q19" s="37" t="n"/>
      <c r="R19" s="37" t="n"/>
      <c r="S19" s="37" t="n"/>
      <c r="T19" s="37" t="n"/>
      <c r="U19" s="37" t="n"/>
      <c r="V19" s="37" t="n"/>
      <c r="W19" s="37" t="n"/>
      <c r="X19" s="37" t="n"/>
      <c r="Y19" s="37" t="n"/>
      <c r="Z19" s="37" t="n"/>
      <c r="AA19" s="37" t="n"/>
      <c r="AB19" s="37" t="n"/>
      <c r="AC19" s="37" t="n"/>
      <c r="AD19" s="37" t="n"/>
      <c r="AE19" s="37" t="n"/>
      <c r="AF19" s="37" t="n"/>
      <c r="AG19" s="37" t="n"/>
      <c r="AH19" s="37" t="n"/>
      <c r="AI19" s="39">
        <f>IF($B19="","",COUNTIF(D19:AH19,"P"))</f>
        <v/>
      </c>
      <c r="AJ19" s="39">
        <f>IF($B19="","",COUNTIF(D19:AH19,"R"))</f>
        <v/>
      </c>
      <c r="AK19" s="39">
        <f>IF($B19="","",COUNTIF(D19:AH19,"A"))</f>
        <v/>
      </c>
      <c r="AL19" s="39">
        <f>IF($B19="","",COUNTIF(D19:AH19,"C"))</f>
        <v/>
      </c>
      <c r="AM19" s="39">
        <f>IF($B19="","",COUNTIF(D19:AH19,"M"))</f>
        <v/>
      </c>
      <c r="AN19" s="40">
        <f>IF($B19="","",IF(AI19+AJ19+AK19+AM19=0,"",(AI19+AJ19)/(AI19+AJ19+AK19+AM19)))</f>
        <v/>
      </c>
      <c r="AO19" s="41">
        <f>IF($B19="","",IF('Employés'!D17="","",(AI19+AJ19+AL19)*'Employés'!D17))</f>
        <v/>
      </c>
    </row>
    <row r="20" ht="20" customHeight="1">
      <c r="A20" s="37">
        <f>IF('Employés'!B18="","",'Employés'!A18)</f>
        <v/>
      </c>
      <c r="B20" s="38">
        <f>IF('Employés'!B18="","",'Employés'!B18)</f>
        <v/>
      </c>
      <c r="C20" s="38">
        <f>IF('Employés'!C18="","",'Employés'!C18)</f>
        <v/>
      </c>
      <c r="D20" s="37" t="n"/>
      <c r="E20" s="37" t="n"/>
      <c r="F20" s="37" t="n"/>
      <c r="G20" s="37" t="n"/>
      <c r="H20" s="37" t="n"/>
      <c r="I20" s="37" t="n"/>
      <c r="J20" s="37" t="n"/>
      <c r="K20" s="37" t="n"/>
      <c r="L20" s="37" t="n"/>
      <c r="M20" s="37" t="n"/>
      <c r="N20" s="37" t="n"/>
      <c r="O20" s="37" t="n"/>
      <c r="P20" s="37" t="n"/>
      <c r="Q20" s="37" t="n"/>
      <c r="R20" s="37" t="n"/>
      <c r="S20" s="37" t="n"/>
      <c r="T20" s="37" t="n"/>
      <c r="U20" s="37" t="n"/>
      <c r="V20" s="37" t="n"/>
      <c r="W20" s="37" t="n"/>
      <c r="X20" s="37" t="n"/>
      <c r="Y20" s="37" t="n"/>
      <c r="Z20" s="37" t="n"/>
      <c r="AA20" s="37" t="n"/>
      <c r="AB20" s="37" t="n"/>
      <c r="AC20" s="37" t="n"/>
      <c r="AD20" s="37" t="n"/>
      <c r="AE20" s="37" t="n"/>
      <c r="AF20" s="37" t="n"/>
      <c r="AG20" s="37" t="n"/>
      <c r="AH20" s="37" t="n"/>
      <c r="AI20" s="39">
        <f>IF($B20="","",COUNTIF(D20:AH20,"P"))</f>
        <v/>
      </c>
      <c r="AJ20" s="39">
        <f>IF($B20="","",COUNTIF(D20:AH20,"R"))</f>
        <v/>
      </c>
      <c r="AK20" s="39">
        <f>IF($B20="","",COUNTIF(D20:AH20,"A"))</f>
        <v/>
      </c>
      <c r="AL20" s="39">
        <f>IF($B20="","",COUNTIF(D20:AH20,"C"))</f>
        <v/>
      </c>
      <c r="AM20" s="39">
        <f>IF($B20="","",COUNTIF(D20:AH20,"M"))</f>
        <v/>
      </c>
      <c r="AN20" s="40">
        <f>IF($B20="","",IF(AI20+AJ20+AK20+AM20=0,"",(AI20+AJ20)/(AI20+AJ20+AK20+AM20)))</f>
        <v/>
      </c>
      <c r="AO20" s="41">
        <f>IF($B20="","",IF('Employés'!D18="","",(AI20+AJ20+AL20)*'Employés'!D18))</f>
        <v/>
      </c>
    </row>
    <row r="21" ht="20" customHeight="1">
      <c r="A21" s="37">
        <f>IF('Employés'!B19="","",'Employés'!A19)</f>
        <v/>
      </c>
      <c r="B21" s="38">
        <f>IF('Employés'!B19="","",'Employés'!B19)</f>
        <v/>
      </c>
      <c r="C21" s="38">
        <f>IF('Employés'!C19="","",'Employés'!C19)</f>
        <v/>
      </c>
      <c r="D21" s="37" t="n"/>
      <c r="E21" s="37" t="n"/>
      <c r="F21" s="37" t="n"/>
      <c r="G21" s="37" t="n"/>
      <c r="H21" s="37" t="n"/>
      <c r="I21" s="37" t="n"/>
      <c r="J21" s="37" t="n"/>
      <c r="K21" s="37" t="n"/>
      <c r="L21" s="37" t="n"/>
      <c r="M21" s="37" t="n"/>
      <c r="N21" s="37" t="n"/>
      <c r="O21" s="37" t="n"/>
      <c r="P21" s="37" t="n"/>
      <c r="Q21" s="37" t="n"/>
      <c r="R21" s="37" t="n"/>
      <c r="S21" s="37" t="n"/>
      <c r="T21" s="37" t="n"/>
      <c r="U21" s="37" t="n"/>
      <c r="V21" s="37" t="n"/>
      <c r="W21" s="37" t="n"/>
      <c r="X21" s="37" t="n"/>
      <c r="Y21" s="37" t="n"/>
      <c r="Z21" s="37" t="n"/>
      <c r="AA21" s="37" t="n"/>
      <c r="AB21" s="37" t="n"/>
      <c r="AC21" s="37" t="n"/>
      <c r="AD21" s="37" t="n"/>
      <c r="AE21" s="37" t="n"/>
      <c r="AF21" s="37" t="n"/>
      <c r="AG21" s="37" t="n"/>
      <c r="AH21" s="37" t="n"/>
      <c r="AI21" s="39">
        <f>IF($B21="","",COUNTIF(D21:AH21,"P"))</f>
        <v/>
      </c>
      <c r="AJ21" s="39">
        <f>IF($B21="","",COUNTIF(D21:AH21,"R"))</f>
        <v/>
      </c>
      <c r="AK21" s="39">
        <f>IF($B21="","",COUNTIF(D21:AH21,"A"))</f>
        <v/>
      </c>
      <c r="AL21" s="39">
        <f>IF($B21="","",COUNTIF(D21:AH21,"C"))</f>
        <v/>
      </c>
      <c r="AM21" s="39">
        <f>IF($B21="","",COUNTIF(D21:AH21,"M"))</f>
        <v/>
      </c>
      <c r="AN21" s="40">
        <f>IF($B21="","",IF(AI21+AJ21+AK21+AM21=0,"",(AI21+AJ21)/(AI21+AJ21+AK21+AM21)))</f>
        <v/>
      </c>
      <c r="AO21" s="41">
        <f>IF($B21="","",IF('Employés'!D19="","",(AI21+AJ21+AL21)*'Employés'!D19))</f>
        <v/>
      </c>
    </row>
    <row r="22" ht="20" customHeight="1">
      <c r="A22" s="37">
        <f>IF('Employés'!B20="","",'Employés'!A20)</f>
        <v/>
      </c>
      <c r="B22" s="38">
        <f>IF('Employés'!B20="","",'Employés'!B20)</f>
        <v/>
      </c>
      <c r="C22" s="38">
        <f>IF('Employés'!C20="","",'Employés'!C20)</f>
        <v/>
      </c>
      <c r="D22" s="37" t="n"/>
      <c r="E22" s="37" t="n"/>
      <c r="F22" s="37" t="n"/>
      <c r="G22" s="37" t="n"/>
      <c r="H22" s="37" t="n"/>
      <c r="I22" s="37" t="n"/>
      <c r="J22" s="37" t="n"/>
      <c r="K22" s="37" t="n"/>
      <c r="L22" s="37" t="n"/>
      <c r="M22" s="37" t="n"/>
      <c r="N22" s="37" t="n"/>
      <c r="O22" s="37" t="n"/>
      <c r="P22" s="37" t="n"/>
      <c r="Q22" s="37" t="n"/>
      <c r="R22" s="37" t="n"/>
      <c r="S22" s="37" t="n"/>
      <c r="T22" s="37" t="n"/>
      <c r="U22" s="37" t="n"/>
      <c r="V22" s="37" t="n"/>
      <c r="W22" s="37" t="n"/>
      <c r="X22" s="37" t="n"/>
      <c r="Y22" s="37" t="n"/>
      <c r="Z22" s="37" t="n"/>
      <c r="AA22" s="37" t="n"/>
      <c r="AB22" s="37" t="n"/>
      <c r="AC22" s="37" t="n"/>
      <c r="AD22" s="37" t="n"/>
      <c r="AE22" s="37" t="n"/>
      <c r="AF22" s="37" t="n"/>
      <c r="AG22" s="37" t="n"/>
      <c r="AH22" s="37" t="n"/>
      <c r="AI22" s="39">
        <f>IF($B22="","",COUNTIF(D22:AH22,"P"))</f>
        <v/>
      </c>
      <c r="AJ22" s="39">
        <f>IF($B22="","",COUNTIF(D22:AH22,"R"))</f>
        <v/>
      </c>
      <c r="AK22" s="39">
        <f>IF($B22="","",COUNTIF(D22:AH22,"A"))</f>
        <v/>
      </c>
      <c r="AL22" s="39">
        <f>IF($B22="","",COUNTIF(D22:AH22,"C"))</f>
        <v/>
      </c>
      <c r="AM22" s="39">
        <f>IF($B22="","",COUNTIF(D22:AH22,"M"))</f>
        <v/>
      </c>
      <c r="AN22" s="40">
        <f>IF($B22="","",IF(AI22+AJ22+AK22+AM22=0,"",(AI22+AJ22)/(AI22+AJ22+AK22+AM22)))</f>
        <v/>
      </c>
      <c r="AO22" s="41">
        <f>IF($B22="","",IF('Employés'!D20="","",(AI22+AJ22+AL22)*'Employés'!D20))</f>
        <v/>
      </c>
    </row>
    <row r="23" ht="20" customHeight="1">
      <c r="A23" s="37">
        <f>IF('Employés'!B21="","",'Employés'!A21)</f>
        <v/>
      </c>
      <c r="B23" s="38">
        <f>IF('Employés'!B21="","",'Employés'!B21)</f>
        <v/>
      </c>
      <c r="C23" s="38">
        <f>IF('Employés'!C21="","",'Employés'!C21)</f>
        <v/>
      </c>
      <c r="D23" s="37" t="n"/>
      <c r="E23" s="37" t="n"/>
      <c r="F23" s="37" t="n"/>
      <c r="G23" s="37" t="n"/>
      <c r="H23" s="37" t="n"/>
      <c r="I23" s="37" t="n"/>
      <c r="J23" s="37" t="n"/>
      <c r="K23" s="37" t="n"/>
      <c r="L23" s="37" t="n"/>
      <c r="M23" s="37" t="n"/>
      <c r="N23" s="37" t="n"/>
      <c r="O23" s="37" t="n"/>
      <c r="P23" s="37" t="n"/>
      <c r="Q23" s="37" t="n"/>
      <c r="R23" s="37" t="n"/>
      <c r="S23" s="37" t="n"/>
      <c r="T23" s="37" t="n"/>
      <c r="U23" s="37" t="n"/>
      <c r="V23" s="37" t="n"/>
      <c r="W23" s="37" t="n"/>
      <c r="X23" s="37" t="n"/>
      <c r="Y23" s="37" t="n"/>
      <c r="Z23" s="37" t="n"/>
      <c r="AA23" s="37" t="n"/>
      <c r="AB23" s="37" t="n"/>
      <c r="AC23" s="37" t="n"/>
      <c r="AD23" s="37" t="n"/>
      <c r="AE23" s="37" t="n"/>
      <c r="AF23" s="37" t="n"/>
      <c r="AG23" s="37" t="n"/>
      <c r="AH23" s="37" t="n"/>
      <c r="AI23" s="39">
        <f>IF($B23="","",COUNTIF(D23:AH23,"P"))</f>
        <v/>
      </c>
      <c r="AJ23" s="39">
        <f>IF($B23="","",COUNTIF(D23:AH23,"R"))</f>
        <v/>
      </c>
      <c r="AK23" s="39">
        <f>IF($B23="","",COUNTIF(D23:AH23,"A"))</f>
        <v/>
      </c>
      <c r="AL23" s="39">
        <f>IF($B23="","",COUNTIF(D23:AH23,"C"))</f>
        <v/>
      </c>
      <c r="AM23" s="39">
        <f>IF($B23="","",COUNTIF(D23:AH23,"M"))</f>
        <v/>
      </c>
      <c r="AN23" s="40">
        <f>IF($B23="","",IF(AI23+AJ23+AK23+AM23=0,"",(AI23+AJ23)/(AI23+AJ23+AK23+AM23)))</f>
        <v/>
      </c>
      <c r="AO23" s="41">
        <f>IF($B23="","",IF('Employés'!D21="","",(AI23+AJ23+AL23)*'Employés'!D21))</f>
        <v/>
      </c>
    </row>
    <row r="24" ht="20" customHeight="1">
      <c r="A24" s="37">
        <f>IF('Employés'!B22="","",'Employés'!A22)</f>
        <v/>
      </c>
      <c r="B24" s="38">
        <f>IF('Employés'!B22="","",'Employés'!B22)</f>
        <v/>
      </c>
      <c r="C24" s="38">
        <f>IF('Employés'!C22="","",'Employés'!C22)</f>
        <v/>
      </c>
      <c r="D24" s="37" t="n"/>
      <c r="E24" s="37" t="n"/>
      <c r="F24" s="37" t="n"/>
      <c r="G24" s="37" t="n"/>
      <c r="H24" s="37" t="n"/>
      <c r="I24" s="37" t="n"/>
      <c r="J24" s="37" t="n"/>
      <c r="K24" s="37" t="n"/>
      <c r="L24" s="37" t="n"/>
      <c r="M24" s="37" t="n"/>
      <c r="N24" s="37" t="n"/>
      <c r="O24" s="37" t="n"/>
      <c r="P24" s="37" t="n"/>
      <c r="Q24" s="37" t="n"/>
      <c r="R24" s="37" t="n"/>
      <c r="S24" s="37" t="n"/>
      <c r="T24" s="37" t="n"/>
      <c r="U24" s="37" t="n"/>
      <c r="V24" s="37" t="n"/>
      <c r="W24" s="37" t="n"/>
      <c r="X24" s="37" t="n"/>
      <c r="Y24" s="37" t="n"/>
      <c r="Z24" s="37" t="n"/>
      <c r="AA24" s="37" t="n"/>
      <c r="AB24" s="37" t="n"/>
      <c r="AC24" s="37" t="n"/>
      <c r="AD24" s="37" t="n"/>
      <c r="AE24" s="37" t="n"/>
      <c r="AF24" s="37" t="n"/>
      <c r="AG24" s="37" t="n"/>
      <c r="AH24" s="37" t="n"/>
      <c r="AI24" s="39">
        <f>IF($B24="","",COUNTIF(D24:AH24,"P"))</f>
        <v/>
      </c>
      <c r="AJ24" s="39">
        <f>IF($B24="","",COUNTIF(D24:AH24,"R"))</f>
        <v/>
      </c>
      <c r="AK24" s="39">
        <f>IF($B24="","",COUNTIF(D24:AH24,"A"))</f>
        <v/>
      </c>
      <c r="AL24" s="39">
        <f>IF($B24="","",COUNTIF(D24:AH24,"C"))</f>
        <v/>
      </c>
      <c r="AM24" s="39">
        <f>IF($B24="","",COUNTIF(D24:AH24,"M"))</f>
        <v/>
      </c>
      <c r="AN24" s="40">
        <f>IF($B24="","",IF(AI24+AJ24+AK24+AM24=0,"",(AI24+AJ24)/(AI24+AJ24+AK24+AM24)))</f>
        <v/>
      </c>
      <c r="AO24" s="41">
        <f>IF($B24="","",IF('Employés'!D22="","",(AI24+AJ24+AL24)*'Employés'!D22))</f>
        <v/>
      </c>
    </row>
    <row r="25" ht="20" customHeight="1">
      <c r="A25" s="37">
        <f>IF('Employés'!B23="","",'Employés'!A23)</f>
        <v/>
      </c>
      <c r="B25" s="38">
        <f>IF('Employés'!B23="","",'Employés'!B23)</f>
        <v/>
      </c>
      <c r="C25" s="38">
        <f>IF('Employés'!C23="","",'Employés'!C23)</f>
        <v/>
      </c>
      <c r="D25" s="37" t="n"/>
      <c r="E25" s="37" t="n"/>
      <c r="F25" s="37" t="n"/>
      <c r="G25" s="37" t="n"/>
      <c r="H25" s="37" t="n"/>
      <c r="I25" s="37" t="n"/>
      <c r="J25" s="37" t="n"/>
      <c r="K25" s="37" t="n"/>
      <c r="L25" s="37" t="n"/>
      <c r="M25" s="37" t="n"/>
      <c r="N25" s="37" t="n"/>
      <c r="O25" s="37" t="n"/>
      <c r="P25" s="37" t="n"/>
      <c r="Q25" s="37" t="n"/>
      <c r="R25" s="37" t="n"/>
      <c r="S25" s="37" t="n"/>
      <c r="T25" s="37" t="n"/>
      <c r="U25" s="37" t="n"/>
      <c r="V25" s="37" t="n"/>
      <c r="W25" s="37" t="n"/>
      <c r="X25" s="37" t="n"/>
      <c r="Y25" s="37" t="n"/>
      <c r="Z25" s="37" t="n"/>
      <c r="AA25" s="37" t="n"/>
      <c r="AB25" s="37" t="n"/>
      <c r="AC25" s="37" t="n"/>
      <c r="AD25" s="37" t="n"/>
      <c r="AE25" s="37" t="n"/>
      <c r="AF25" s="37" t="n"/>
      <c r="AG25" s="37" t="n"/>
      <c r="AH25" s="37" t="n"/>
      <c r="AI25" s="39">
        <f>IF($B25="","",COUNTIF(D25:AH25,"P"))</f>
        <v/>
      </c>
      <c r="AJ25" s="39">
        <f>IF($B25="","",COUNTIF(D25:AH25,"R"))</f>
        <v/>
      </c>
      <c r="AK25" s="39">
        <f>IF($B25="","",COUNTIF(D25:AH25,"A"))</f>
        <v/>
      </c>
      <c r="AL25" s="39">
        <f>IF($B25="","",COUNTIF(D25:AH25,"C"))</f>
        <v/>
      </c>
      <c r="AM25" s="39">
        <f>IF($B25="","",COUNTIF(D25:AH25,"M"))</f>
        <v/>
      </c>
      <c r="AN25" s="40">
        <f>IF($B25="","",IF(AI25+AJ25+AK25+AM25=0,"",(AI25+AJ25)/(AI25+AJ25+AK25+AM25)))</f>
        <v/>
      </c>
      <c r="AO25" s="41">
        <f>IF($B25="","",IF('Employés'!D23="","",(AI25+AJ25+AL25)*'Employés'!D23))</f>
        <v/>
      </c>
    </row>
    <row r="26" ht="20" customHeight="1">
      <c r="A26" s="37">
        <f>IF('Employés'!B24="","",'Employés'!A24)</f>
        <v/>
      </c>
      <c r="B26" s="38">
        <f>IF('Employés'!B24="","",'Employés'!B24)</f>
        <v/>
      </c>
      <c r="C26" s="38">
        <f>IF('Employés'!C24="","",'Employés'!C24)</f>
        <v/>
      </c>
      <c r="D26" s="37" t="n"/>
      <c r="E26" s="37" t="n"/>
      <c r="F26" s="37" t="n"/>
      <c r="G26" s="37" t="n"/>
      <c r="H26" s="37" t="n"/>
      <c r="I26" s="37" t="n"/>
      <c r="J26" s="37" t="n"/>
      <c r="K26" s="37" t="n"/>
      <c r="L26" s="37" t="n"/>
      <c r="M26" s="37" t="n"/>
      <c r="N26" s="37" t="n"/>
      <c r="O26" s="37" t="n"/>
      <c r="P26" s="37" t="n"/>
      <c r="Q26" s="37" t="n"/>
      <c r="R26" s="37" t="n"/>
      <c r="S26" s="37" t="n"/>
      <c r="T26" s="37" t="n"/>
      <c r="U26" s="37" t="n"/>
      <c r="V26" s="37" t="n"/>
      <c r="W26" s="37" t="n"/>
      <c r="X26" s="37" t="n"/>
      <c r="Y26" s="37" t="n"/>
      <c r="Z26" s="37" t="n"/>
      <c r="AA26" s="37" t="n"/>
      <c r="AB26" s="37" t="n"/>
      <c r="AC26" s="37" t="n"/>
      <c r="AD26" s="37" t="n"/>
      <c r="AE26" s="37" t="n"/>
      <c r="AF26" s="37" t="n"/>
      <c r="AG26" s="37" t="n"/>
      <c r="AH26" s="37" t="n"/>
      <c r="AI26" s="39">
        <f>IF($B26="","",COUNTIF(D26:AH26,"P"))</f>
        <v/>
      </c>
      <c r="AJ26" s="39">
        <f>IF($B26="","",COUNTIF(D26:AH26,"R"))</f>
        <v/>
      </c>
      <c r="AK26" s="39">
        <f>IF($B26="","",COUNTIF(D26:AH26,"A"))</f>
        <v/>
      </c>
      <c r="AL26" s="39">
        <f>IF($B26="","",COUNTIF(D26:AH26,"C"))</f>
        <v/>
      </c>
      <c r="AM26" s="39">
        <f>IF($B26="","",COUNTIF(D26:AH26,"M"))</f>
        <v/>
      </c>
      <c r="AN26" s="40">
        <f>IF($B26="","",IF(AI26+AJ26+AK26+AM26=0,"",(AI26+AJ26)/(AI26+AJ26+AK26+AM26)))</f>
        <v/>
      </c>
      <c r="AO26" s="41">
        <f>IF($B26="","",IF('Employés'!D24="","",(AI26+AJ26+AL26)*'Employés'!D24))</f>
        <v/>
      </c>
    </row>
    <row r="27" ht="20" customHeight="1">
      <c r="A27" s="37">
        <f>IF('Employés'!B25="","",'Employés'!A25)</f>
        <v/>
      </c>
      <c r="B27" s="38">
        <f>IF('Employés'!B25="","",'Employés'!B25)</f>
        <v/>
      </c>
      <c r="C27" s="38">
        <f>IF('Employés'!C25="","",'Employés'!C25)</f>
        <v/>
      </c>
      <c r="D27" s="37" t="n"/>
      <c r="E27" s="37" t="n"/>
      <c r="F27" s="37" t="n"/>
      <c r="G27" s="37" t="n"/>
      <c r="H27" s="37" t="n"/>
      <c r="I27" s="37" t="n"/>
      <c r="J27" s="37" t="n"/>
      <c r="K27" s="37" t="n"/>
      <c r="L27" s="37" t="n"/>
      <c r="M27" s="37" t="n"/>
      <c r="N27" s="37" t="n"/>
      <c r="O27" s="37" t="n"/>
      <c r="P27" s="37" t="n"/>
      <c r="Q27" s="37" t="n"/>
      <c r="R27" s="37" t="n"/>
      <c r="S27" s="37" t="n"/>
      <c r="T27" s="37" t="n"/>
      <c r="U27" s="37" t="n"/>
      <c r="V27" s="37" t="n"/>
      <c r="W27" s="37" t="n"/>
      <c r="X27" s="37" t="n"/>
      <c r="Y27" s="37" t="n"/>
      <c r="Z27" s="37" t="n"/>
      <c r="AA27" s="37" t="n"/>
      <c r="AB27" s="37" t="n"/>
      <c r="AC27" s="37" t="n"/>
      <c r="AD27" s="37" t="n"/>
      <c r="AE27" s="37" t="n"/>
      <c r="AF27" s="37" t="n"/>
      <c r="AG27" s="37" t="n"/>
      <c r="AH27" s="37" t="n"/>
      <c r="AI27" s="39">
        <f>IF($B27="","",COUNTIF(D27:AH27,"P"))</f>
        <v/>
      </c>
      <c r="AJ27" s="39">
        <f>IF($B27="","",COUNTIF(D27:AH27,"R"))</f>
        <v/>
      </c>
      <c r="AK27" s="39">
        <f>IF($B27="","",COUNTIF(D27:AH27,"A"))</f>
        <v/>
      </c>
      <c r="AL27" s="39">
        <f>IF($B27="","",COUNTIF(D27:AH27,"C"))</f>
        <v/>
      </c>
      <c r="AM27" s="39">
        <f>IF($B27="","",COUNTIF(D27:AH27,"M"))</f>
        <v/>
      </c>
      <c r="AN27" s="40">
        <f>IF($B27="","",IF(AI27+AJ27+AK27+AM27=0,"",(AI27+AJ27)/(AI27+AJ27+AK27+AM27)))</f>
        <v/>
      </c>
      <c r="AO27" s="41">
        <f>IF($B27="","",IF('Employés'!D25="","",(AI27+AJ27+AL27)*'Employés'!D25))</f>
        <v/>
      </c>
    </row>
    <row r="28" ht="20" customHeight="1">
      <c r="A28" s="37">
        <f>IF('Employés'!B26="","",'Employés'!A26)</f>
        <v/>
      </c>
      <c r="B28" s="38">
        <f>IF('Employés'!B26="","",'Employés'!B26)</f>
        <v/>
      </c>
      <c r="C28" s="38">
        <f>IF('Employés'!C26="","",'Employés'!C26)</f>
        <v/>
      </c>
      <c r="D28" s="37" t="n"/>
      <c r="E28" s="37" t="n"/>
      <c r="F28" s="37" t="n"/>
      <c r="G28" s="37" t="n"/>
      <c r="H28" s="37" t="n"/>
      <c r="I28" s="37" t="n"/>
      <c r="J28" s="37" t="n"/>
      <c r="K28" s="37" t="n"/>
      <c r="L28" s="37" t="n"/>
      <c r="M28" s="37" t="n"/>
      <c r="N28" s="37" t="n"/>
      <c r="O28" s="37" t="n"/>
      <c r="P28" s="37" t="n"/>
      <c r="Q28" s="37" t="n"/>
      <c r="R28" s="37" t="n"/>
      <c r="S28" s="37" t="n"/>
      <c r="T28" s="37" t="n"/>
      <c r="U28" s="37" t="n"/>
      <c r="V28" s="37" t="n"/>
      <c r="W28" s="37" t="n"/>
      <c r="X28" s="37" t="n"/>
      <c r="Y28" s="37" t="n"/>
      <c r="Z28" s="37" t="n"/>
      <c r="AA28" s="37" t="n"/>
      <c r="AB28" s="37" t="n"/>
      <c r="AC28" s="37" t="n"/>
      <c r="AD28" s="37" t="n"/>
      <c r="AE28" s="37" t="n"/>
      <c r="AF28" s="37" t="n"/>
      <c r="AG28" s="37" t="n"/>
      <c r="AH28" s="37" t="n"/>
      <c r="AI28" s="39">
        <f>IF($B28="","",COUNTIF(D28:AH28,"P"))</f>
        <v/>
      </c>
      <c r="AJ28" s="39">
        <f>IF($B28="","",COUNTIF(D28:AH28,"R"))</f>
        <v/>
      </c>
      <c r="AK28" s="39">
        <f>IF($B28="","",COUNTIF(D28:AH28,"A"))</f>
        <v/>
      </c>
      <c r="AL28" s="39">
        <f>IF($B28="","",COUNTIF(D28:AH28,"C"))</f>
        <v/>
      </c>
      <c r="AM28" s="39">
        <f>IF($B28="","",COUNTIF(D28:AH28,"M"))</f>
        <v/>
      </c>
      <c r="AN28" s="40">
        <f>IF($B28="","",IF(AI28+AJ28+AK28+AM28=0,"",(AI28+AJ28)/(AI28+AJ28+AK28+AM28)))</f>
        <v/>
      </c>
      <c r="AO28" s="41">
        <f>IF($B28="","",IF('Employés'!D26="","",(AI28+AJ28+AL28)*'Employés'!D26))</f>
        <v/>
      </c>
    </row>
    <row r="29" ht="20" customHeight="1">
      <c r="A29" s="37">
        <f>IF('Employés'!B27="","",'Employés'!A27)</f>
        <v/>
      </c>
      <c r="B29" s="38">
        <f>IF('Employés'!B27="","",'Employés'!B27)</f>
        <v/>
      </c>
      <c r="C29" s="38">
        <f>IF('Employés'!C27="","",'Employés'!C27)</f>
        <v/>
      </c>
      <c r="D29" s="37" t="n"/>
      <c r="E29" s="37" t="n"/>
      <c r="F29" s="37" t="n"/>
      <c r="G29" s="37" t="n"/>
      <c r="H29" s="37" t="n"/>
      <c r="I29" s="37" t="n"/>
      <c r="J29" s="37" t="n"/>
      <c r="K29" s="37" t="n"/>
      <c r="L29" s="37" t="n"/>
      <c r="M29" s="37" t="n"/>
      <c r="N29" s="37" t="n"/>
      <c r="O29" s="37" t="n"/>
      <c r="P29" s="37" t="n"/>
      <c r="Q29" s="37" t="n"/>
      <c r="R29" s="37" t="n"/>
      <c r="S29" s="37" t="n"/>
      <c r="T29" s="37" t="n"/>
      <c r="U29" s="37" t="n"/>
      <c r="V29" s="37" t="n"/>
      <c r="W29" s="37" t="n"/>
      <c r="X29" s="37" t="n"/>
      <c r="Y29" s="37" t="n"/>
      <c r="Z29" s="37" t="n"/>
      <c r="AA29" s="37" t="n"/>
      <c r="AB29" s="37" t="n"/>
      <c r="AC29" s="37" t="n"/>
      <c r="AD29" s="37" t="n"/>
      <c r="AE29" s="37" t="n"/>
      <c r="AF29" s="37" t="n"/>
      <c r="AG29" s="37" t="n"/>
      <c r="AH29" s="37" t="n"/>
      <c r="AI29" s="39">
        <f>IF($B29="","",COUNTIF(D29:AH29,"P"))</f>
        <v/>
      </c>
      <c r="AJ29" s="39">
        <f>IF($B29="","",COUNTIF(D29:AH29,"R"))</f>
        <v/>
      </c>
      <c r="AK29" s="39">
        <f>IF($B29="","",COUNTIF(D29:AH29,"A"))</f>
        <v/>
      </c>
      <c r="AL29" s="39">
        <f>IF($B29="","",COUNTIF(D29:AH29,"C"))</f>
        <v/>
      </c>
      <c r="AM29" s="39">
        <f>IF($B29="","",COUNTIF(D29:AH29,"M"))</f>
        <v/>
      </c>
      <c r="AN29" s="40">
        <f>IF($B29="","",IF(AI29+AJ29+AK29+AM29=0,"",(AI29+AJ29)/(AI29+AJ29+AK29+AM29)))</f>
        <v/>
      </c>
      <c r="AO29" s="41">
        <f>IF($B29="","",IF('Employés'!D27="","",(AI29+AJ29+AL29)*'Employés'!D27))</f>
        <v/>
      </c>
    </row>
    <row r="30" ht="20" customHeight="1">
      <c r="A30" s="37">
        <f>IF('Employés'!B28="","",'Employés'!A28)</f>
        <v/>
      </c>
      <c r="B30" s="38">
        <f>IF('Employés'!B28="","",'Employés'!B28)</f>
        <v/>
      </c>
      <c r="C30" s="38">
        <f>IF('Employés'!C28="","",'Employés'!C28)</f>
        <v/>
      </c>
      <c r="D30" s="37" t="n"/>
      <c r="E30" s="37" t="n"/>
      <c r="F30" s="37" t="n"/>
      <c r="G30" s="37" t="n"/>
      <c r="H30" s="37" t="n"/>
      <c r="I30" s="37" t="n"/>
      <c r="J30" s="37" t="n"/>
      <c r="K30" s="37" t="n"/>
      <c r="L30" s="37" t="n"/>
      <c r="M30" s="37" t="n"/>
      <c r="N30" s="37" t="n"/>
      <c r="O30" s="37" t="n"/>
      <c r="P30" s="37" t="n"/>
      <c r="Q30" s="37" t="n"/>
      <c r="R30" s="37" t="n"/>
      <c r="S30" s="37" t="n"/>
      <c r="T30" s="37" t="n"/>
      <c r="U30" s="37" t="n"/>
      <c r="V30" s="37" t="n"/>
      <c r="W30" s="37" t="n"/>
      <c r="X30" s="37" t="n"/>
      <c r="Y30" s="37" t="n"/>
      <c r="Z30" s="37" t="n"/>
      <c r="AA30" s="37" t="n"/>
      <c r="AB30" s="37" t="n"/>
      <c r="AC30" s="37" t="n"/>
      <c r="AD30" s="37" t="n"/>
      <c r="AE30" s="37" t="n"/>
      <c r="AF30" s="37" t="n"/>
      <c r="AG30" s="37" t="n"/>
      <c r="AH30" s="37" t="n"/>
      <c r="AI30" s="39">
        <f>IF($B30="","",COUNTIF(D30:AH30,"P"))</f>
        <v/>
      </c>
      <c r="AJ30" s="39">
        <f>IF($B30="","",COUNTIF(D30:AH30,"R"))</f>
        <v/>
      </c>
      <c r="AK30" s="39">
        <f>IF($B30="","",COUNTIF(D30:AH30,"A"))</f>
        <v/>
      </c>
      <c r="AL30" s="39">
        <f>IF($B30="","",COUNTIF(D30:AH30,"C"))</f>
        <v/>
      </c>
      <c r="AM30" s="39">
        <f>IF($B30="","",COUNTIF(D30:AH30,"M"))</f>
        <v/>
      </c>
      <c r="AN30" s="40">
        <f>IF($B30="","",IF(AI30+AJ30+AK30+AM30=0,"",(AI30+AJ30)/(AI30+AJ30+AK30+AM30)))</f>
        <v/>
      </c>
      <c r="AO30" s="41">
        <f>IF($B30="","",IF('Employés'!D28="","",(AI30+AJ30+AL30)*'Employés'!D28))</f>
        <v/>
      </c>
    </row>
    <row r="31" ht="20" customHeight="1">
      <c r="A31" s="37">
        <f>IF('Employés'!B29="","",'Employés'!A29)</f>
        <v/>
      </c>
      <c r="B31" s="38">
        <f>IF('Employés'!B29="","",'Employés'!B29)</f>
        <v/>
      </c>
      <c r="C31" s="38">
        <f>IF('Employés'!C29="","",'Employés'!C29)</f>
        <v/>
      </c>
      <c r="D31" s="37" t="n"/>
      <c r="E31" s="37" t="n"/>
      <c r="F31" s="37" t="n"/>
      <c r="G31" s="37" t="n"/>
      <c r="H31" s="37" t="n"/>
      <c r="I31" s="37" t="n"/>
      <c r="J31" s="37" t="n"/>
      <c r="K31" s="37" t="n"/>
      <c r="L31" s="37" t="n"/>
      <c r="M31" s="37" t="n"/>
      <c r="N31" s="37" t="n"/>
      <c r="O31" s="37" t="n"/>
      <c r="P31" s="37" t="n"/>
      <c r="Q31" s="37" t="n"/>
      <c r="R31" s="37" t="n"/>
      <c r="S31" s="37" t="n"/>
      <c r="T31" s="37" t="n"/>
      <c r="U31" s="37" t="n"/>
      <c r="V31" s="37" t="n"/>
      <c r="W31" s="37" t="n"/>
      <c r="X31" s="37" t="n"/>
      <c r="Y31" s="37" t="n"/>
      <c r="Z31" s="37" t="n"/>
      <c r="AA31" s="37" t="n"/>
      <c r="AB31" s="37" t="n"/>
      <c r="AC31" s="37" t="n"/>
      <c r="AD31" s="37" t="n"/>
      <c r="AE31" s="37" t="n"/>
      <c r="AF31" s="37" t="n"/>
      <c r="AG31" s="37" t="n"/>
      <c r="AH31" s="37" t="n"/>
      <c r="AI31" s="39">
        <f>IF($B31="","",COUNTIF(D31:AH31,"P"))</f>
        <v/>
      </c>
      <c r="AJ31" s="39">
        <f>IF($B31="","",COUNTIF(D31:AH31,"R"))</f>
        <v/>
      </c>
      <c r="AK31" s="39">
        <f>IF($B31="","",COUNTIF(D31:AH31,"A"))</f>
        <v/>
      </c>
      <c r="AL31" s="39">
        <f>IF($B31="","",COUNTIF(D31:AH31,"C"))</f>
        <v/>
      </c>
      <c r="AM31" s="39">
        <f>IF($B31="","",COUNTIF(D31:AH31,"M"))</f>
        <v/>
      </c>
      <c r="AN31" s="40">
        <f>IF($B31="","",IF(AI31+AJ31+AK31+AM31=0,"",(AI31+AJ31)/(AI31+AJ31+AK31+AM31)))</f>
        <v/>
      </c>
      <c r="AO31" s="41">
        <f>IF($B31="","",IF('Employés'!D29="","",(AI31+AJ31+AL31)*'Employés'!D29))</f>
        <v/>
      </c>
    </row>
    <row r="32" ht="20" customHeight="1">
      <c r="A32" s="37">
        <f>IF('Employés'!B30="","",'Employés'!A30)</f>
        <v/>
      </c>
      <c r="B32" s="38">
        <f>IF('Employés'!B30="","",'Employés'!B30)</f>
        <v/>
      </c>
      <c r="C32" s="38">
        <f>IF('Employés'!C30="","",'Employés'!C30)</f>
        <v/>
      </c>
      <c r="D32" s="37" t="n"/>
      <c r="E32" s="37" t="n"/>
      <c r="F32" s="37" t="n"/>
      <c r="G32" s="37" t="n"/>
      <c r="H32" s="37" t="n"/>
      <c r="I32" s="37" t="n"/>
      <c r="J32" s="37" t="n"/>
      <c r="K32" s="37" t="n"/>
      <c r="L32" s="37" t="n"/>
      <c r="M32" s="37" t="n"/>
      <c r="N32" s="37" t="n"/>
      <c r="O32" s="37" t="n"/>
      <c r="P32" s="37" t="n"/>
      <c r="Q32" s="37" t="n"/>
      <c r="R32" s="37" t="n"/>
      <c r="S32" s="37" t="n"/>
      <c r="T32" s="37" t="n"/>
      <c r="U32" s="37" t="n"/>
      <c r="V32" s="37" t="n"/>
      <c r="W32" s="37" t="n"/>
      <c r="X32" s="37" t="n"/>
      <c r="Y32" s="37" t="n"/>
      <c r="Z32" s="37" t="n"/>
      <c r="AA32" s="37" t="n"/>
      <c r="AB32" s="37" t="n"/>
      <c r="AC32" s="37" t="n"/>
      <c r="AD32" s="37" t="n"/>
      <c r="AE32" s="37" t="n"/>
      <c r="AF32" s="37" t="n"/>
      <c r="AG32" s="37" t="n"/>
      <c r="AH32" s="37" t="n"/>
      <c r="AI32" s="39">
        <f>IF($B32="","",COUNTIF(D32:AH32,"P"))</f>
        <v/>
      </c>
      <c r="AJ32" s="39">
        <f>IF($B32="","",COUNTIF(D32:AH32,"R"))</f>
        <v/>
      </c>
      <c r="AK32" s="39">
        <f>IF($B32="","",COUNTIF(D32:AH32,"A"))</f>
        <v/>
      </c>
      <c r="AL32" s="39">
        <f>IF($B32="","",COUNTIF(D32:AH32,"C"))</f>
        <v/>
      </c>
      <c r="AM32" s="39">
        <f>IF($B32="","",COUNTIF(D32:AH32,"M"))</f>
        <v/>
      </c>
      <c r="AN32" s="40">
        <f>IF($B32="","",IF(AI32+AJ32+AK32+AM32=0,"",(AI32+AJ32)/(AI32+AJ32+AK32+AM32)))</f>
        <v/>
      </c>
      <c r="AO32" s="41">
        <f>IF($B32="","",IF('Employés'!D30="","",(AI32+AJ32+AL32)*'Employés'!D30))</f>
        <v/>
      </c>
    </row>
    <row r="33" ht="20" customHeight="1">
      <c r="A33" s="37">
        <f>IF('Employés'!B31="","",'Employés'!A31)</f>
        <v/>
      </c>
      <c r="B33" s="38">
        <f>IF('Employés'!B31="","",'Employés'!B31)</f>
        <v/>
      </c>
      <c r="C33" s="38">
        <f>IF('Employés'!C31="","",'Employés'!C31)</f>
        <v/>
      </c>
      <c r="D33" s="37" t="n"/>
      <c r="E33" s="37" t="n"/>
      <c r="F33" s="37" t="n"/>
      <c r="G33" s="37" t="n"/>
      <c r="H33" s="37" t="n"/>
      <c r="I33" s="37" t="n"/>
      <c r="J33" s="37" t="n"/>
      <c r="K33" s="37" t="n"/>
      <c r="L33" s="37" t="n"/>
      <c r="M33" s="37" t="n"/>
      <c r="N33" s="37" t="n"/>
      <c r="O33" s="37" t="n"/>
      <c r="P33" s="37" t="n"/>
      <c r="Q33" s="37" t="n"/>
      <c r="R33" s="37" t="n"/>
      <c r="S33" s="37" t="n"/>
      <c r="T33" s="37" t="n"/>
      <c r="U33" s="37" t="n"/>
      <c r="V33" s="37" t="n"/>
      <c r="W33" s="37" t="n"/>
      <c r="X33" s="37" t="n"/>
      <c r="Y33" s="37" t="n"/>
      <c r="Z33" s="37" t="n"/>
      <c r="AA33" s="37" t="n"/>
      <c r="AB33" s="37" t="n"/>
      <c r="AC33" s="37" t="n"/>
      <c r="AD33" s="37" t="n"/>
      <c r="AE33" s="37" t="n"/>
      <c r="AF33" s="37" t="n"/>
      <c r="AG33" s="37" t="n"/>
      <c r="AH33" s="37" t="n"/>
      <c r="AI33" s="39">
        <f>IF($B33="","",COUNTIF(D33:AH33,"P"))</f>
        <v/>
      </c>
      <c r="AJ33" s="39">
        <f>IF($B33="","",COUNTIF(D33:AH33,"R"))</f>
        <v/>
      </c>
      <c r="AK33" s="39">
        <f>IF($B33="","",COUNTIF(D33:AH33,"A"))</f>
        <v/>
      </c>
      <c r="AL33" s="39">
        <f>IF($B33="","",COUNTIF(D33:AH33,"C"))</f>
        <v/>
      </c>
      <c r="AM33" s="39">
        <f>IF($B33="","",COUNTIF(D33:AH33,"M"))</f>
        <v/>
      </c>
      <c r="AN33" s="40">
        <f>IF($B33="","",IF(AI33+AJ33+AK33+AM33=0,"",(AI33+AJ33)/(AI33+AJ33+AK33+AM33)))</f>
        <v/>
      </c>
      <c r="AO33" s="41">
        <f>IF($B33="","",IF('Employés'!D31="","",(AI33+AJ33+AL33)*'Employés'!D31))</f>
        <v/>
      </c>
    </row>
    <row r="34" ht="20" customHeight="1">
      <c r="A34" s="37">
        <f>IF('Employés'!B32="","",'Employés'!A32)</f>
        <v/>
      </c>
      <c r="B34" s="38">
        <f>IF('Employés'!B32="","",'Employés'!B32)</f>
        <v/>
      </c>
      <c r="C34" s="38">
        <f>IF('Employés'!C32="","",'Employés'!C32)</f>
        <v/>
      </c>
      <c r="D34" s="37" t="n"/>
      <c r="E34" s="37" t="n"/>
      <c r="F34" s="37" t="n"/>
      <c r="G34" s="37" t="n"/>
      <c r="H34" s="37" t="n"/>
      <c r="I34" s="37" t="n"/>
      <c r="J34" s="37" t="n"/>
      <c r="K34" s="37" t="n"/>
      <c r="L34" s="37" t="n"/>
      <c r="M34" s="37" t="n"/>
      <c r="N34" s="37" t="n"/>
      <c r="O34" s="37" t="n"/>
      <c r="P34" s="37" t="n"/>
      <c r="Q34" s="37" t="n"/>
      <c r="R34" s="37" t="n"/>
      <c r="S34" s="37" t="n"/>
      <c r="T34" s="37" t="n"/>
      <c r="U34" s="37" t="n"/>
      <c r="V34" s="37" t="n"/>
      <c r="W34" s="37" t="n"/>
      <c r="X34" s="37" t="n"/>
      <c r="Y34" s="37" t="n"/>
      <c r="Z34" s="37" t="n"/>
      <c r="AA34" s="37" t="n"/>
      <c r="AB34" s="37" t="n"/>
      <c r="AC34" s="37" t="n"/>
      <c r="AD34" s="37" t="n"/>
      <c r="AE34" s="37" t="n"/>
      <c r="AF34" s="37" t="n"/>
      <c r="AG34" s="37" t="n"/>
      <c r="AH34" s="37" t="n"/>
      <c r="AI34" s="39">
        <f>IF($B34="","",COUNTIF(D34:AH34,"P"))</f>
        <v/>
      </c>
      <c r="AJ34" s="39">
        <f>IF($B34="","",COUNTIF(D34:AH34,"R"))</f>
        <v/>
      </c>
      <c r="AK34" s="39">
        <f>IF($B34="","",COUNTIF(D34:AH34,"A"))</f>
        <v/>
      </c>
      <c r="AL34" s="39">
        <f>IF($B34="","",COUNTIF(D34:AH34,"C"))</f>
        <v/>
      </c>
      <c r="AM34" s="39">
        <f>IF($B34="","",COUNTIF(D34:AH34,"M"))</f>
        <v/>
      </c>
      <c r="AN34" s="40">
        <f>IF($B34="","",IF(AI34+AJ34+AK34+AM34=0,"",(AI34+AJ34)/(AI34+AJ34+AK34+AM34)))</f>
        <v/>
      </c>
      <c r="AO34" s="41">
        <f>IF($B34="","",IF('Employés'!D32="","",(AI34+AJ34+AL34)*'Employés'!D32))</f>
        <v/>
      </c>
    </row>
    <row r="35" ht="20" customHeight="1">
      <c r="A35" s="37">
        <f>IF('Employés'!B33="","",'Employés'!A33)</f>
        <v/>
      </c>
      <c r="B35" s="38">
        <f>IF('Employés'!B33="","",'Employés'!B33)</f>
        <v/>
      </c>
      <c r="C35" s="38">
        <f>IF('Employés'!C33="","",'Employés'!C33)</f>
        <v/>
      </c>
      <c r="D35" s="37" t="n"/>
      <c r="E35" s="37" t="n"/>
      <c r="F35" s="37" t="n"/>
      <c r="G35" s="37" t="n"/>
      <c r="H35" s="37" t="n"/>
      <c r="I35" s="37" t="n"/>
      <c r="J35" s="37" t="n"/>
      <c r="K35" s="37" t="n"/>
      <c r="L35" s="37" t="n"/>
      <c r="M35" s="37" t="n"/>
      <c r="N35" s="37" t="n"/>
      <c r="O35" s="37" t="n"/>
      <c r="P35" s="37" t="n"/>
      <c r="Q35" s="37" t="n"/>
      <c r="R35" s="37" t="n"/>
      <c r="S35" s="37" t="n"/>
      <c r="T35" s="37" t="n"/>
      <c r="U35" s="37" t="n"/>
      <c r="V35" s="37" t="n"/>
      <c r="W35" s="37" t="n"/>
      <c r="X35" s="37" t="n"/>
      <c r="Y35" s="37" t="n"/>
      <c r="Z35" s="37" t="n"/>
      <c r="AA35" s="37" t="n"/>
      <c r="AB35" s="37" t="n"/>
      <c r="AC35" s="37" t="n"/>
      <c r="AD35" s="37" t="n"/>
      <c r="AE35" s="37" t="n"/>
      <c r="AF35" s="37" t="n"/>
      <c r="AG35" s="37" t="n"/>
      <c r="AH35" s="37" t="n"/>
      <c r="AI35" s="39">
        <f>IF($B35="","",COUNTIF(D35:AH35,"P"))</f>
        <v/>
      </c>
      <c r="AJ35" s="39">
        <f>IF($B35="","",COUNTIF(D35:AH35,"R"))</f>
        <v/>
      </c>
      <c r="AK35" s="39">
        <f>IF($B35="","",COUNTIF(D35:AH35,"A"))</f>
        <v/>
      </c>
      <c r="AL35" s="39">
        <f>IF($B35="","",COUNTIF(D35:AH35,"C"))</f>
        <v/>
      </c>
      <c r="AM35" s="39">
        <f>IF($B35="","",COUNTIF(D35:AH35,"M"))</f>
        <v/>
      </c>
      <c r="AN35" s="40">
        <f>IF($B35="","",IF(AI35+AJ35+AK35+AM35=0,"",(AI35+AJ35)/(AI35+AJ35+AK35+AM35)))</f>
        <v/>
      </c>
      <c r="AO35" s="41">
        <f>IF($B35="","",IF('Employés'!D33="","",(AI35+AJ35+AL35)*'Employés'!D33))</f>
        <v/>
      </c>
    </row>
    <row r="36" ht="20" customHeight="1">
      <c r="A36" s="37">
        <f>IF('Employés'!B34="","",'Employés'!A34)</f>
        <v/>
      </c>
      <c r="B36" s="38">
        <f>IF('Employés'!B34="","",'Employés'!B34)</f>
        <v/>
      </c>
      <c r="C36" s="38">
        <f>IF('Employés'!C34="","",'Employés'!C34)</f>
        <v/>
      </c>
      <c r="D36" s="37" t="n"/>
      <c r="E36" s="37" t="n"/>
      <c r="F36" s="37" t="n"/>
      <c r="G36" s="37" t="n"/>
      <c r="H36" s="37" t="n"/>
      <c r="I36" s="37" t="n"/>
      <c r="J36" s="37" t="n"/>
      <c r="K36" s="37" t="n"/>
      <c r="L36" s="37" t="n"/>
      <c r="M36" s="37" t="n"/>
      <c r="N36" s="37" t="n"/>
      <c r="O36" s="37" t="n"/>
      <c r="P36" s="37" t="n"/>
      <c r="Q36" s="37" t="n"/>
      <c r="R36" s="37" t="n"/>
      <c r="S36" s="37" t="n"/>
      <c r="T36" s="37" t="n"/>
      <c r="U36" s="37" t="n"/>
      <c r="V36" s="37" t="n"/>
      <c r="W36" s="37" t="n"/>
      <c r="X36" s="37" t="n"/>
      <c r="Y36" s="37" t="n"/>
      <c r="Z36" s="37" t="n"/>
      <c r="AA36" s="37" t="n"/>
      <c r="AB36" s="37" t="n"/>
      <c r="AC36" s="37" t="n"/>
      <c r="AD36" s="37" t="n"/>
      <c r="AE36" s="37" t="n"/>
      <c r="AF36" s="37" t="n"/>
      <c r="AG36" s="37" t="n"/>
      <c r="AH36" s="37" t="n"/>
      <c r="AI36" s="39">
        <f>IF($B36="","",COUNTIF(D36:AH36,"P"))</f>
        <v/>
      </c>
      <c r="AJ36" s="39">
        <f>IF($B36="","",COUNTIF(D36:AH36,"R"))</f>
        <v/>
      </c>
      <c r="AK36" s="39">
        <f>IF($B36="","",COUNTIF(D36:AH36,"A"))</f>
        <v/>
      </c>
      <c r="AL36" s="39">
        <f>IF($B36="","",COUNTIF(D36:AH36,"C"))</f>
        <v/>
      </c>
      <c r="AM36" s="39">
        <f>IF($B36="","",COUNTIF(D36:AH36,"M"))</f>
        <v/>
      </c>
      <c r="AN36" s="40">
        <f>IF($B36="","",IF(AI36+AJ36+AK36+AM36=0,"",(AI36+AJ36)/(AI36+AJ36+AK36+AM36)))</f>
        <v/>
      </c>
      <c r="AO36" s="41">
        <f>IF($B36="","",IF('Employés'!D34="","",(AI36+AJ36+AL36)*'Employés'!D34))</f>
        <v/>
      </c>
    </row>
    <row r="37">
      <c r="A37" s="42" t="n"/>
      <c r="B37" s="42" t="inlineStr">
        <is>
          <t>TOTAL</t>
        </is>
      </c>
      <c r="C37" s="42" t="n"/>
      <c r="D37" s="42" t="n"/>
      <c r="E37" s="42" t="n"/>
      <c r="F37" s="42" t="n"/>
      <c r="G37" s="42" t="n"/>
      <c r="H37" s="42" t="n"/>
      <c r="I37" s="42" t="n"/>
      <c r="J37" s="42" t="n"/>
      <c r="K37" s="42" t="n"/>
      <c r="L37" s="42" t="n"/>
      <c r="M37" s="42" t="n"/>
      <c r="N37" s="42" t="n"/>
      <c r="O37" s="42" t="n"/>
      <c r="P37" s="42" t="n"/>
      <c r="Q37" s="42" t="n"/>
      <c r="R37" s="42" t="n"/>
      <c r="S37" s="42" t="n"/>
      <c r="T37" s="42" t="n"/>
      <c r="U37" s="42" t="n"/>
      <c r="V37" s="42" t="n"/>
      <c r="W37" s="42" t="n"/>
      <c r="X37" s="42" t="n"/>
      <c r="Y37" s="42" t="n"/>
      <c r="Z37" s="42" t="n"/>
      <c r="AA37" s="42" t="n"/>
      <c r="AB37" s="42" t="n"/>
      <c r="AC37" s="42" t="n"/>
      <c r="AD37" s="42" t="n"/>
      <c r="AE37" s="42" t="n"/>
      <c r="AF37" s="42" t="n"/>
      <c r="AG37" s="42" t="n"/>
      <c r="AH37" s="42" t="n"/>
      <c r="AI37" s="42">
        <f>SUM(AI7:AI36)</f>
        <v/>
      </c>
      <c r="AJ37" s="42">
        <f>SUM(AJ7:AJ36)</f>
        <v/>
      </c>
      <c r="AK37" s="42">
        <f>SUM(AK7:AK36)</f>
        <v/>
      </c>
      <c r="AL37" s="42">
        <f>SUM(AL7:AL36)</f>
        <v/>
      </c>
      <c r="AM37" s="42">
        <f>SUM(AM7:AM36)</f>
        <v/>
      </c>
      <c r="AN37" s="42" t="n"/>
      <c r="AO37" s="43">
        <f>SUM(AO7:AO36)</f>
        <v/>
      </c>
    </row>
  </sheetData>
  <mergeCells count="17">
    <mergeCell ref="A5:A6"/>
    <mergeCell ref="A2:AO2"/>
    <mergeCell ref="AI5:AI6"/>
    <mergeCell ref="D3:G3"/>
    <mergeCell ref="S3:V3"/>
    <mergeCell ref="X3:AA3"/>
    <mergeCell ref="AJ5:AJ6"/>
    <mergeCell ref="AK5:AK6"/>
    <mergeCell ref="I3:L3"/>
    <mergeCell ref="AL5:AL6"/>
    <mergeCell ref="AM5:AM6"/>
    <mergeCell ref="AN5:AN6"/>
    <mergeCell ref="A1:AO1"/>
    <mergeCell ref="N3:Q3"/>
    <mergeCell ref="AO5:AO6"/>
    <mergeCell ref="B5:B6"/>
    <mergeCell ref="C5:C6"/>
  </mergeCells>
  <conditionalFormatting sqref="D7:AH36">
    <cfRule type="expression" priority="1" dxfId="0">
      <formula>UPPER(D7)="P"</formula>
    </cfRule>
    <cfRule type="expression" priority="2" dxfId="1">
      <formula>UPPER(D7)="R"</formula>
    </cfRule>
    <cfRule type="expression" priority="3" dxfId="2">
      <formula>UPPER(D7)="A"</formula>
    </cfRule>
    <cfRule type="expression" priority="4" dxfId="3">
      <formula>UPPER(D7)="C"</formula>
    </cfRule>
    <cfRule type="expression" priority="5" dxfId="4">
      <formula>UPPER(D7)="M"</formula>
    </cfRule>
    <cfRule type="expression" priority="6" dxfId="5">
      <formula>OR(D$6="Sam",D$6="Dim",D$5="")</formula>
    </cfRule>
  </conditionalFormatting>
  <dataValidations count="1">
    <dataValidation sqref="D7:AH36" showDropDown="0" showInputMessage="0" showErrorMessage="1" allowBlank="1" errorTitle="Code inconnu" error="Utilisez P, R, A, C ou M." type="list">
      <formula1>"P,R,A,C,M"</formula1>
    </dataValidation>
  </dataValidations>
  <pageMargins left="0.75" right="0.75" top="1" bottom="1" header="0.5" footer="0.5"/>
  <pageSetup orientation="landscape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AO37"/>
  <sheetViews>
    <sheetView zoomScale="90" workbookViewId="0">
      <pane xSplit="3" ySplit="6" topLeftCell="D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24" customWidth="1" min="2" max="2"/>
    <col width="14" customWidth="1" min="3" max="3"/>
    <col width="4.6" customWidth="1" min="4" max="4"/>
    <col width="4.6" customWidth="1" min="5" max="5"/>
    <col width="4.6" customWidth="1" min="6" max="6"/>
    <col width="4.6" customWidth="1" min="7" max="7"/>
    <col width="4.6" customWidth="1" min="8" max="8"/>
    <col width="4.6" customWidth="1" min="9" max="9"/>
    <col width="4.6" customWidth="1" min="10" max="10"/>
    <col width="4.6" customWidth="1" min="11" max="11"/>
    <col width="4.6" customWidth="1" min="12" max="12"/>
    <col width="4.6" customWidth="1" min="13" max="13"/>
    <col width="4.6" customWidth="1" min="14" max="14"/>
    <col width="4.6" customWidth="1" min="15" max="15"/>
    <col width="4.6" customWidth="1" min="16" max="16"/>
    <col width="4.6" customWidth="1" min="17" max="17"/>
    <col width="4.6" customWidth="1" min="18" max="18"/>
    <col width="4.6" customWidth="1" min="19" max="19"/>
    <col width="4.6" customWidth="1" min="20" max="20"/>
    <col width="4.6" customWidth="1" min="21" max="21"/>
    <col width="4.6" customWidth="1" min="22" max="22"/>
    <col width="4.6" customWidth="1" min="23" max="23"/>
    <col width="4.6" customWidth="1" min="24" max="24"/>
    <col width="4.6" customWidth="1" min="25" max="25"/>
    <col width="4.6" customWidth="1" min="26" max="26"/>
    <col width="4.6" customWidth="1" min="27" max="27"/>
    <col width="4.6" customWidth="1" min="28" max="28"/>
    <col width="4.6" customWidth="1" min="29" max="29"/>
    <col width="4.6" customWidth="1" min="30" max="30"/>
    <col width="4.6" customWidth="1" min="31" max="31"/>
    <col width="4.6" customWidth="1" min="32" max="32"/>
    <col width="4.6" customWidth="1" min="33" max="33"/>
    <col width="4.6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13" customWidth="1" min="40" max="40"/>
    <col width="13" customWidth="1" min="41" max="41"/>
  </cols>
  <sheetData>
    <row r="1" ht="34" customHeight="1">
      <c r="A1" s="1">
        <f>'Paramètres'!$B$4&amp;" · Pointage de Décembre "&amp;'Paramètres'!$B$5</f>
        <v/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</row>
    <row r="2" ht="20" customHeight="1">
      <c r="A2" s="3" t="inlineStr">
        <is>
          <t>Outil offert par Logia (DWTS) · Un logiciel sur mesure pour votre entreprise ? WhatsApp 062 67 14 45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2" t="n"/>
      <c r="AL2" s="2" t="n"/>
      <c r="AM2" s="2" t="n"/>
      <c r="AN2" s="2" t="n"/>
      <c r="AO2" s="2" t="n"/>
    </row>
    <row r="3">
      <c r="A3" s="6" t="inlineStr">
        <is>
          <t>Codes :</t>
        </is>
      </c>
      <c r="D3" s="30" t="inlineStr">
        <is>
          <t>P = Présent</t>
        </is>
      </c>
      <c r="I3" s="31" t="inlineStr">
        <is>
          <t>R = En retard</t>
        </is>
      </c>
      <c r="N3" s="32" t="inlineStr">
        <is>
          <t>A = Absent</t>
        </is>
      </c>
      <c r="S3" s="33" t="inlineStr">
        <is>
          <t>C = Congé</t>
        </is>
      </c>
      <c r="X3" s="34" t="inlineStr">
        <is>
          <t>M = Malade</t>
        </is>
      </c>
    </row>
    <row r="5" ht="22" customHeight="1">
      <c r="A5" s="35" t="inlineStr">
        <is>
          <t>ID</t>
        </is>
      </c>
      <c r="B5" s="35" t="inlineStr">
        <is>
          <t>Nom</t>
        </is>
      </c>
      <c r="C5" s="35" t="inlineStr">
        <is>
          <t>Poste</t>
        </is>
      </c>
      <c r="D5" s="35">
        <f>IF(MONTH(DATE('Paramètres'!$B$5,12,1))=12,1,"")</f>
        <v/>
      </c>
      <c r="E5" s="35">
        <f>IF(MONTH(DATE('Paramètres'!$B$5,12,2))=12,2,"")</f>
        <v/>
      </c>
      <c r="F5" s="35">
        <f>IF(MONTH(DATE('Paramètres'!$B$5,12,3))=12,3,"")</f>
        <v/>
      </c>
      <c r="G5" s="35">
        <f>IF(MONTH(DATE('Paramètres'!$B$5,12,4))=12,4,"")</f>
        <v/>
      </c>
      <c r="H5" s="35">
        <f>IF(MONTH(DATE('Paramètres'!$B$5,12,5))=12,5,"")</f>
        <v/>
      </c>
      <c r="I5" s="35">
        <f>IF(MONTH(DATE('Paramètres'!$B$5,12,6))=12,6,"")</f>
        <v/>
      </c>
      <c r="J5" s="35">
        <f>IF(MONTH(DATE('Paramètres'!$B$5,12,7))=12,7,"")</f>
        <v/>
      </c>
      <c r="K5" s="35">
        <f>IF(MONTH(DATE('Paramètres'!$B$5,12,8))=12,8,"")</f>
        <v/>
      </c>
      <c r="L5" s="35">
        <f>IF(MONTH(DATE('Paramètres'!$B$5,12,9))=12,9,"")</f>
        <v/>
      </c>
      <c r="M5" s="35">
        <f>IF(MONTH(DATE('Paramètres'!$B$5,12,10))=12,10,"")</f>
        <v/>
      </c>
      <c r="N5" s="35">
        <f>IF(MONTH(DATE('Paramètres'!$B$5,12,11))=12,11,"")</f>
        <v/>
      </c>
      <c r="O5" s="35">
        <f>IF(MONTH(DATE('Paramètres'!$B$5,12,12))=12,12,"")</f>
        <v/>
      </c>
      <c r="P5" s="35">
        <f>IF(MONTH(DATE('Paramètres'!$B$5,12,13))=12,13,"")</f>
        <v/>
      </c>
      <c r="Q5" s="35">
        <f>IF(MONTH(DATE('Paramètres'!$B$5,12,14))=12,14,"")</f>
        <v/>
      </c>
      <c r="R5" s="35">
        <f>IF(MONTH(DATE('Paramètres'!$B$5,12,15))=12,15,"")</f>
        <v/>
      </c>
      <c r="S5" s="35">
        <f>IF(MONTH(DATE('Paramètres'!$B$5,12,16))=12,16,"")</f>
        <v/>
      </c>
      <c r="T5" s="35">
        <f>IF(MONTH(DATE('Paramètres'!$B$5,12,17))=12,17,"")</f>
        <v/>
      </c>
      <c r="U5" s="35">
        <f>IF(MONTH(DATE('Paramètres'!$B$5,12,18))=12,18,"")</f>
        <v/>
      </c>
      <c r="V5" s="35">
        <f>IF(MONTH(DATE('Paramètres'!$B$5,12,19))=12,19,"")</f>
        <v/>
      </c>
      <c r="W5" s="35">
        <f>IF(MONTH(DATE('Paramètres'!$B$5,12,20))=12,20,"")</f>
        <v/>
      </c>
      <c r="X5" s="35">
        <f>IF(MONTH(DATE('Paramètres'!$B$5,12,21))=12,21,"")</f>
        <v/>
      </c>
      <c r="Y5" s="35">
        <f>IF(MONTH(DATE('Paramètres'!$B$5,12,22))=12,22,"")</f>
        <v/>
      </c>
      <c r="Z5" s="35">
        <f>IF(MONTH(DATE('Paramètres'!$B$5,12,23))=12,23,"")</f>
        <v/>
      </c>
      <c r="AA5" s="35">
        <f>IF(MONTH(DATE('Paramètres'!$B$5,12,24))=12,24,"")</f>
        <v/>
      </c>
      <c r="AB5" s="35">
        <f>IF(MONTH(DATE('Paramètres'!$B$5,12,25))=12,25,"")</f>
        <v/>
      </c>
      <c r="AC5" s="35">
        <f>IF(MONTH(DATE('Paramètres'!$B$5,12,26))=12,26,"")</f>
        <v/>
      </c>
      <c r="AD5" s="35">
        <f>IF(MONTH(DATE('Paramètres'!$B$5,12,27))=12,27,"")</f>
        <v/>
      </c>
      <c r="AE5" s="35">
        <f>IF(MONTH(DATE('Paramètres'!$B$5,12,28))=12,28,"")</f>
        <v/>
      </c>
      <c r="AF5" s="35">
        <f>IF(MONTH(DATE('Paramètres'!$B$5,12,29))=12,29,"")</f>
        <v/>
      </c>
      <c r="AG5" s="35">
        <f>IF(MONTH(DATE('Paramètres'!$B$5,12,30))=12,30,"")</f>
        <v/>
      </c>
      <c r="AH5" s="35">
        <f>IF(MONTH(DATE('Paramètres'!$B$5,12,31))=12,31,"")</f>
        <v/>
      </c>
      <c r="AI5" s="36" t="inlineStr">
        <is>
          <t>Présent</t>
        </is>
      </c>
      <c r="AJ5" s="36" t="inlineStr">
        <is>
          <t>Retard</t>
        </is>
      </c>
      <c r="AK5" s="36" t="inlineStr">
        <is>
          <t>Absent</t>
        </is>
      </c>
      <c r="AL5" s="36" t="inlineStr">
        <is>
          <t>Congé</t>
        </is>
      </c>
      <c r="AM5" s="36" t="inlineStr">
        <is>
          <t>Malade</t>
        </is>
      </c>
      <c r="AN5" s="36" t="inlineStr">
        <is>
          <t>Taux de présence</t>
        </is>
      </c>
      <c r="AO5" s="36" t="inlineStr">
        <is>
          <t>Salaire dû</t>
        </is>
      </c>
    </row>
    <row r="6" ht="22" customHeight="1">
      <c r="A6" s="35" t="n"/>
      <c r="B6" s="35" t="n"/>
      <c r="C6" s="35" t="n"/>
      <c r="D6" s="35">
        <f>IF(D5="","",CHOOSE(WEEKDAY(DATE('Paramètres'!$B$5,12,1),2),"Lun","Mar","Mer","Jeu","Ven","Sam","Dim"))</f>
        <v/>
      </c>
      <c r="E6" s="35">
        <f>IF(E5="","",CHOOSE(WEEKDAY(DATE('Paramètres'!$B$5,12,2),2),"Lun","Mar","Mer","Jeu","Ven","Sam","Dim"))</f>
        <v/>
      </c>
      <c r="F6" s="35">
        <f>IF(F5="","",CHOOSE(WEEKDAY(DATE('Paramètres'!$B$5,12,3),2),"Lun","Mar","Mer","Jeu","Ven","Sam","Dim"))</f>
        <v/>
      </c>
      <c r="G6" s="35">
        <f>IF(G5="","",CHOOSE(WEEKDAY(DATE('Paramètres'!$B$5,12,4),2),"Lun","Mar","Mer","Jeu","Ven","Sam","Dim"))</f>
        <v/>
      </c>
      <c r="H6" s="35">
        <f>IF(H5="","",CHOOSE(WEEKDAY(DATE('Paramètres'!$B$5,12,5),2),"Lun","Mar","Mer","Jeu","Ven","Sam","Dim"))</f>
        <v/>
      </c>
      <c r="I6" s="35">
        <f>IF(I5="","",CHOOSE(WEEKDAY(DATE('Paramètres'!$B$5,12,6),2),"Lun","Mar","Mer","Jeu","Ven","Sam","Dim"))</f>
        <v/>
      </c>
      <c r="J6" s="35">
        <f>IF(J5="","",CHOOSE(WEEKDAY(DATE('Paramètres'!$B$5,12,7),2),"Lun","Mar","Mer","Jeu","Ven","Sam","Dim"))</f>
        <v/>
      </c>
      <c r="K6" s="35">
        <f>IF(K5="","",CHOOSE(WEEKDAY(DATE('Paramètres'!$B$5,12,8),2),"Lun","Mar","Mer","Jeu","Ven","Sam","Dim"))</f>
        <v/>
      </c>
      <c r="L6" s="35">
        <f>IF(L5="","",CHOOSE(WEEKDAY(DATE('Paramètres'!$B$5,12,9),2),"Lun","Mar","Mer","Jeu","Ven","Sam","Dim"))</f>
        <v/>
      </c>
      <c r="M6" s="35">
        <f>IF(M5="","",CHOOSE(WEEKDAY(DATE('Paramètres'!$B$5,12,10),2),"Lun","Mar","Mer","Jeu","Ven","Sam","Dim"))</f>
        <v/>
      </c>
      <c r="N6" s="35">
        <f>IF(N5="","",CHOOSE(WEEKDAY(DATE('Paramètres'!$B$5,12,11),2),"Lun","Mar","Mer","Jeu","Ven","Sam","Dim"))</f>
        <v/>
      </c>
      <c r="O6" s="35">
        <f>IF(O5="","",CHOOSE(WEEKDAY(DATE('Paramètres'!$B$5,12,12),2),"Lun","Mar","Mer","Jeu","Ven","Sam","Dim"))</f>
        <v/>
      </c>
      <c r="P6" s="35">
        <f>IF(P5="","",CHOOSE(WEEKDAY(DATE('Paramètres'!$B$5,12,13),2),"Lun","Mar","Mer","Jeu","Ven","Sam","Dim"))</f>
        <v/>
      </c>
      <c r="Q6" s="35">
        <f>IF(Q5="","",CHOOSE(WEEKDAY(DATE('Paramètres'!$B$5,12,14),2),"Lun","Mar","Mer","Jeu","Ven","Sam","Dim"))</f>
        <v/>
      </c>
      <c r="R6" s="35">
        <f>IF(R5="","",CHOOSE(WEEKDAY(DATE('Paramètres'!$B$5,12,15),2),"Lun","Mar","Mer","Jeu","Ven","Sam","Dim"))</f>
        <v/>
      </c>
      <c r="S6" s="35">
        <f>IF(S5="","",CHOOSE(WEEKDAY(DATE('Paramètres'!$B$5,12,16),2),"Lun","Mar","Mer","Jeu","Ven","Sam","Dim"))</f>
        <v/>
      </c>
      <c r="T6" s="35">
        <f>IF(T5="","",CHOOSE(WEEKDAY(DATE('Paramètres'!$B$5,12,17),2),"Lun","Mar","Mer","Jeu","Ven","Sam","Dim"))</f>
        <v/>
      </c>
      <c r="U6" s="35">
        <f>IF(U5="","",CHOOSE(WEEKDAY(DATE('Paramètres'!$B$5,12,18),2),"Lun","Mar","Mer","Jeu","Ven","Sam","Dim"))</f>
        <v/>
      </c>
      <c r="V6" s="35">
        <f>IF(V5="","",CHOOSE(WEEKDAY(DATE('Paramètres'!$B$5,12,19),2),"Lun","Mar","Mer","Jeu","Ven","Sam","Dim"))</f>
        <v/>
      </c>
      <c r="W6" s="35">
        <f>IF(W5="","",CHOOSE(WEEKDAY(DATE('Paramètres'!$B$5,12,20),2),"Lun","Mar","Mer","Jeu","Ven","Sam","Dim"))</f>
        <v/>
      </c>
      <c r="X6" s="35">
        <f>IF(X5="","",CHOOSE(WEEKDAY(DATE('Paramètres'!$B$5,12,21),2),"Lun","Mar","Mer","Jeu","Ven","Sam","Dim"))</f>
        <v/>
      </c>
      <c r="Y6" s="35">
        <f>IF(Y5="","",CHOOSE(WEEKDAY(DATE('Paramètres'!$B$5,12,22),2),"Lun","Mar","Mer","Jeu","Ven","Sam","Dim"))</f>
        <v/>
      </c>
      <c r="Z6" s="35">
        <f>IF(Z5="","",CHOOSE(WEEKDAY(DATE('Paramètres'!$B$5,12,23),2),"Lun","Mar","Mer","Jeu","Ven","Sam","Dim"))</f>
        <v/>
      </c>
      <c r="AA6" s="35">
        <f>IF(AA5="","",CHOOSE(WEEKDAY(DATE('Paramètres'!$B$5,12,24),2),"Lun","Mar","Mer","Jeu","Ven","Sam","Dim"))</f>
        <v/>
      </c>
      <c r="AB6" s="35">
        <f>IF(AB5="","",CHOOSE(WEEKDAY(DATE('Paramètres'!$B$5,12,25),2),"Lun","Mar","Mer","Jeu","Ven","Sam","Dim"))</f>
        <v/>
      </c>
      <c r="AC6" s="35">
        <f>IF(AC5="","",CHOOSE(WEEKDAY(DATE('Paramètres'!$B$5,12,26),2),"Lun","Mar","Mer","Jeu","Ven","Sam","Dim"))</f>
        <v/>
      </c>
      <c r="AD6" s="35">
        <f>IF(AD5="","",CHOOSE(WEEKDAY(DATE('Paramètres'!$B$5,12,27),2),"Lun","Mar","Mer","Jeu","Ven","Sam","Dim"))</f>
        <v/>
      </c>
      <c r="AE6" s="35">
        <f>IF(AE5="","",CHOOSE(WEEKDAY(DATE('Paramètres'!$B$5,12,28),2),"Lun","Mar","Mer","Jeu","Ven","Sam","Dim"))</f>
        <v/>
      </c>
      <c r="AF6" s="35">
        <f>IF(AF5="","",CHOOSE(WEEKDAY(DATE('Paramètres'!$B$5,12,29),2),"Lun","Mar","Mer","Jeu","Ven","Sam","Dim"))</f>
        <v/>
      </c>
      <c r="AG6" s="35">
        <f>IF(AG5="","",CHOOSE(WEEKDAY(DATE('Paramètres'!$B$5,12,30),2),"Lun","Mar","Mer","Jeu","Ven","Sam","Dim"))</f>
        <v/>
      </c>
      <c r="AH6" s="35">
        <f>IF(AH5="","",CHOOSE(WEEKDAY(DATE('Paramètres'!$B$5,12,31),2),"Lun","Mar","Mer","Jeu","Ven","Sam","Dim"))</f>
        <v/>
      </c>
      <c r="AI6" s="36" t="n"/>
      <c r="AJ6" s="36" t="n"/>
      <c r="AK6" s="36" t="n"/>
      <c r="AL6" s="36" t="n"/>
      <c r="AM6" s="36" t="n"/>
      <c r="AN6" s="36" t="n"/>
      <c r="AO6" s="36" t="n"/>
    </row>
    <row r="7" ht="20" customHeight="1">
      <c r="A7" s="37">
        <f>IF('Employés'!B5="","",'Employés'!A5)</f>
        <v/>
      </c>
      <c r="B7" s="38">
        <f>IF('Employés'!B5="","",'Employés'!B5)</f>
        <v/>
      </c>
      <c r="C7" s="38">
        <f>IF('Employés'!C5="","",'Employés'!C5)</f>
        <v/>
      </c>
      <c r="D7" s="37" t="n"/>
      <c r="E7" s="37" t="n"/>
      <c r="F7" s="37" t="n"/>
      <c r="G7" s="37" t="n"/>
      <c r="H7" s="37" t="n"/>
      <c r="I7" s="37" t="n"/>
      <c r="J7" s="37" t="n"/>
      <c r="K7" s="37" t="n"/>
      <c r="L7" s="37" t="n"/>
      <c r="M7" s="37" t="n"/>
      <c r="N7" s="37" t="n"/>
      <c r="O7" s="37" t="n"/>
      <c r="P7" s="37" t="n"/>
      <c r="Q7" s="37" t="n"/>
      <c r="R7" s="37" t="n"/>
      <c r="S7" s="37" t="n"/>
      <c r="T7" s="37" t="n"/>
      <c r="U7" s="37" t="n"/>
      <c r="V7" s="37" t="n"/>
      <c r="W7" s="37" t="n"/>
      <c r="X7" s="37" t="n"/>
      <c r="Y7" s="37" t="n"/>
      <c r="Z7" s="37" t="n"/>
      <c r="AA7" s="37" t="n"/>
      <c r="AB7" s="37" t="n"/>
      <c r="AC7" s="37" t="n"/>
      <c r="AD7" s="37" t="n"/>
      <c r="AE7" s="37" t="n"/>
      <c r="AF7" s="37" t="n"/>
      <c r="AG7" s="37" t="n"/>
      <c r="AH7" s="37" t="n"/>
      <c r="AI7" s="39">
        <f>IF($B7="","",COUNTIF(D7:AH7,"P"))</f>
        <v/>
      </c>
      <c r="AJ7" s="39">
        <f>IF($B7="","",COUNTIF(D7:AH7,"R"))</f>
        <v/>
      </c>
      <c r="AK7" s="39">
        <f>IF($B7="","",COUNTIF(D7:AH7,"A"))</f>
        <v/>
      </c>
      <c r="AL7" s="39">
        <f>IF($B7="","",COUNTIF(D7:AH7,"C"))</f>
        <v/>
      </c>
      <c r="AM7" s="39">
        <f>IF($B7="","",COUNTIF(D7:AH7,"M"))</f>
        <v/>
      </c>
      <c r="AN7" s="40">
        <f>IF($B7="","",IF(AI7+AJ7+AK7+AM7=0,"",(AI7+AJ7)/(AI7+AJ7+AK7+AM7)))</f>
        <v/>
      </c>
      <c r="AO7" s="41">
        <f>IF($B7="","",IF('Employés'!D5="","",(AI7+AJ7+AL7)*'Employés'!D5))</f>
        <v/>
      </c>
    </row>
    <row r="8" ht="20" customHeight="1">
      <c r="A8" s="37">
        <f>IF('Employés'!B6="","",'Employés'!A6)</f>
        <v/>
      </c>
      <c r="B8" s="38">
        <f>IF('Employés'!B6="","",'Employés'!B6)</f>
        <v/>
      </c>
      <c r="C8" s="38">
        <f>IF('Employés'!C6="","",'Employés'!C6)</f>
        <v/>
      </c>
      <c r="D8" s="37" t="n"/>
      <c r="E8" s="37" t="n"/>
      <c r="F8" s="37" t="n"/>
      <c r="G8" s="37" t="n"/>
      <c r="H8" s="37" t="n"/>
      <c r="I8" s="37" t="n"/>
      <c r="J8" s="37" t="n"/>
      <c r="K8" s="37" t="n"/>
      <c r="L8" s="37" t="n"/>
      <c r="M8" s="37" t="n"/>
      <c r="N8" s="37" t="n"/>
      <c r="O8" s="37" t="n"/>
      <c r="P8" s="37" t="n"/>
      <c r="Q8" s="37" t="n"/>
      <c r="R8" s="37" t="n"/>
      <c r="S8" s="37" t="n"/>
      <c r="T8" s="37" t="n"/>
      <c r="U8" s="37" t="n"/>
      <c r="V8" s="37" t="n"/>
      <c r="W8" s="37" t="n"/>
      <c r="X8" s="37" t="n"/>
      <c r="Y8" s="37" t="n"/>
      <c r="Z8" s="37" t="n"/>
      <c r="AA8" s="37" t="n"/>
      <c r="AB8" s="37" t="n"/>
      <c r="AC8" s="37" t="n"/>
      <c r="AD8" s="37" t="n"/>
      <c r="AE8" s="37" t="n"/>
      <c r="AF8" s="37" t="n"/>
      <c r="AG8" s="37" t="n"/>
      <c r="AH8" s="37" t="n"/>
      <c r="AI8" s="39">
        <f>IF($B8="","",COUNTIF(D8:AH8,"P"))</f>
        <v/>
      </c>
      <c r="AJ8" s="39">
        <f>IF($B8="","",COUNTIF(D8:AH8,"R"))</f>
        <v/>
      </c>
      <c r="AK8" s="39">
        <f>IF($B8="","",COUNTIF(D8:AH8,"A"))</f>
        <v/>
      </c>
      <c r="AL8" s="39">
        <f>IF($B8="","",COUNTIF(D8:AH8,"C"))</f>
        <v/>
      </c>
      <c r="AM8" s="39">
        <f>IF($B8="","",COUNTIF(D8:AH8,"M"))</f>
        <v/>
      </c>
      <c r="AN8" s="40">
        <f>IF($B8="","",IF(AI8+AJ8+AK8+AM8=0,"",(AI8+AJ8)/(AI8+AJ8+AK8+AM8)))</f>
        <v/>
      </c>
      <c r="AO8" s="41">
        <f>IF($B8="","",IF('Employés'!D6="","",(AI8+AJ8+AL8)*'Employés'!D6))</f>
        <v/>
      </c>
    </row>
    <row r="9" ht="20" customHeight="1">
      <c r="A9" s="37">
        <f>IF('Employés'!B7="","",'Employés'!A7)</f>
        <v/>
      </c>
      <c r="B9" s="38">
        <f>IF('Employés'!B7="","",'Employés'!B7)</f>
        <v/>
      </c>
      <c r="C9" s="38">
        <f>IF('Employés'!C7="","",'Employés'!C7)</f>
        <v/>
      </c>
      <c r="D9" s="37" t="n"/>
      <c r="E9" s="37" t="n"/>
      <c r="F9" s="37" t="n"/>
      <c r="G9" s="37" t="n"/>
      <c r="H9" s="37" t="n"/>
      <c r="I9" s="37" t="n"/>
      <c r="J9" s="37" t="n"/>
      <c r="K9" s="37" t="n"/>
      <c r="L9" s="37" t="n"/>
      <c r="M9" s="37" t="n"/>
      <c r="N9" s="37" t="n"/>
      <c r="O9" s="37" t="n"/>
      <c r="P9" s="37" t="n"/>
      <c r="Q9" s="37" t="n"/>
      <c r="R9" s="37" t="n"/>
      <c r="S9" s="37" t="n"/>
      <c r="T9" s="37" t="n"/>
      <c r="U9" s="37" t="n"/>
      <c r="V9" s="37" t="n"/>
      <c r="W9" s="37" t="n"/>
      <c r="X9" s="37" t="n"/>
      <c r="Y9" s="37" t="n"/>
      <c r="Z9" s="37" t="n"/>
      <c r="AA9" s="37" t="n"/>
      <c r="AB9" s="37" t="n"/>
      <c r="AC9" s="37" t="n"/>
      <c r="AD9" s="37" t="n"/>
      <c r="AE9" s="37" t="n"/>
      <c r="AF9" s="37" t="n"/>
      <c r="AG9" s="37" t="n"/>
      <c r="AH9" s="37" t="n"/>
      <c r="AI9" s="39">
        <f>IF($B9="","",COUNTIF(D9:AH9,"P"))</f>
        <v/>
      </c>
      <c r="AJ9" s="39">
        <f>IF($B9="","",COUNTIF(D9:AH9,"R"))</f>
        <v/>
      </c>
      <c r="AK9" s="39">
        <f>IF($B9="","",COUNTIF(D9:AH9,"A"))</f>
        <v/>
      </c>
      <c r="AL9" s="39">
        <f>IF($B9="","",COUNTIF(D9:AH9,"C"))</f>
        <v/>
      </c>
      <c r="AM9" s="39">
        <f>IF($B9="","",COUNTIF(D9:AH9,"M"))</f>
        <v/>
      </c>
      <c r="AN9" s="40">
        <f>IF($B9="","",IF(AI9+AJ9+AK9+AM9=0,"",(AI9+AJ9)/(AI9+AJ9+AK9+AM9)))</f>
        <v/>
      </c>
      <c r="AO9" s="41">
        <f>IF($B9="","",IF('Employés'!D7="","",(AI9+AJ9+AL9)*'Employés'!D7))</f>
        <v/>
      </c>
    </row>
    <row r="10" ht="20" customHeight="1">
      <c r="A10" s="37">
        <f>IF('Employés'!B8="","",'Employés'!A8)</f>
        <v/>
      </c>
      <c r="B10" s="38">
        <f>IF('Employés'!B8="","",'Employés'!B8)</f>
        <v/>
      </c>
      <c r="C10" s="38">
        <f>IF('Employés'!C8="","",'Employés'!C8)</f>
        <v/>
      </c>
      <c r="D10" s="37" t="n"/>
      <c r="E10" s="37" t="n"/>
      <c r="F10" s="37" t="n"/>
      <c r="G10" s="37" t="n"/>
      <c r="H10" s="37" t="n"/>
      <c r="I10" s="37" t="n"/>
      <c r="J10" s="37" t="n"/>
      <c r="K10" s="37" t="n"/>
      <c r="L10" s="37" t="n"/>
      <c r="M10" s="37" t="n"/>
      <c r="N10" s="37" t="n"/>
      <c r="O10" s="37" t="n"/>
      <c r="P10" s="37" t="n"/>
      <c r="Q10" s="37" t="n"/>
      <c r="R10" s="37" t="n"/>
      <c r="S10" s="37" t="n"/>
      <c r="T10" s="37" t="n"/>
      <c r="U10" s="37" t="n"/>
      <c r="V10" s="37" t="n"/>
      <c r="W10" s="37" t="n"/>
      <c r="X10" s="37" t="n"/>
      <c r="Y10" s="37" t="n"/>
      <c r="Z10" s="37" t="n"/>
      <c r="AA10" s="37" t="n"/>
      <c r="AB10" s="37" t="n"/>
      <c r="AC10" s="37" t="n"/>
      <c r="AD10" s="37" t="n"/>
      <c r="AE10" s="37" t="n"/>
      <c r="AF10" s="37" t="n"/>
      <c r="AG10" s="37" t="n"/>
      <c r="AH10" s="37" t="n"/>
      <c r="AI10" s="39">
        <f>IF($B10="","",COUNTIF(D10:AH10,"P"))</f>
        <v/>
      </c>
      <c r="AJ10" s="39">
        <f>IF($B10="","",COUNTIF(D10:AH10,"R"))</f>
        <v/>
      </c>
      <c r="AK10" s="39">
        <f>IF($B10="","",COUNTIF(D10:AH10,"A"))</f>
        <v/>
      </c>
      <c r="AL10" s="39">
        <f>IF($B10="","",COUNTIF(D10:AH10,"C"))</f>
        <v/>
      </c>
      <c r="AM10" s="39">
        <f>IF($B10="","",COUNTIF(D10:AH10,"M"))</f>
        <v/>
      </c>
      <c r="AN10" s="40">
        <f>IF($B10="","",IF(AI10+AJ10+AK10+AM10=0,"",(AI10+AJ10)/(AI10+AJ10+AK10+AM10)))</f>
        <v/>
      </c>
      <c r="AO10" s="41">
        <f>IF($B10="","",IF('Employés'!D8="","",(AI10+AJ10+AL10)*'Employés'!D8))</f>
        <v/>
      </c>
    </row>
    <row r="11" ht="20" customHeight="1">
      <c r="A11" s="37">
        <f>IF('Employés'!B9="","",'Employés'!A9)</f>
        <v/>
      </c>
      <c r="B11" s="38">
        <f>IF('Employés'!B9="","",'Employés'!B9)</f>
        <v/>
      </c>
      <c r="C11" s="38">
        <f>IF('Employés'!C9="","",'Employés'!C9)</f>
        <v/>
      </c>
      <c r="D11" s="37" t="n"/>
      <c r="E11" s="37" t="n"/>
      <c r="F11" s="37" t="n"/>
      <c r="G11" s="37" t="n"/>
      <c r="H11" s="37" t="n"/>
      <c r="I11" s="37" t="n"/>
      <c r="J11" s="37" t="n"/>
      <c r="K11" s="37" t="n"/>
      <c r="L11" s="37" t="n"/>
      <c r="M11" s="37" t="n"/>
      <c r="N11" s="37" t="n"/>
      <c r="O11" s="37" t="n"/>
      <c r="P11" s="37" t="n"/>
      <c r="Q11" s="37" t="n"/>
      <c r="R11" s="37" t="n"/>
      <c r="S11" s="37" t="n"/>
      <c r="T11" s="37" t="n"/>
      <c r="U11" s="37" t="n"/>
      <c r="V11" s="37" t="n"/>
      <c r="W11" s="37" t="n"/>
      <c r="X11" s="37" t="n"/>
      <c r="Y11" s="37" t="n"/>
      <c r="Z11" s="37" t="n"/>
      <c r="AA11" s="37" t="n"/>
      <c r="AB11" s="37" t="n"/>
      <c r="AC11" s="37" t="n"/>
      <c r="AD11" s="37" t="n"/>
      <c r="AE11" s="37" t="n"/>
      <c r="AF11" s="37" t="n"/>
      <c r="AG11" s="37" t="n"/>
      <c r="AH11" s="37" t="n"/>
      <c r="AI11" s="39">
        <f>IF($B11="","",COUNTIF(D11:AH11,"P"))</f>
        <v/>
      </c>
      <c r="AJ11" s="39">
        <f>IF($B11="","",COUNTIF(D11:AH11,"R"))</f>
        <v/>
      </c>
      <c r="AK11" s="39">
        <f>IF($B11="","",COUNTIF(D11:AH11,"A"))</f>
        <v/>
      </c>
      <c r="AL11" s="39">
        <f>IF($B11="","",COUNTIF(D11:AH11,"C"))</f>
        <v/>
      </c>
      <c r="AM11" s="39">
        <f>IF($B11="","",COUNTIF(D11:AH11,"M"))</f>
        <v/>
      </c>
      <c r="AN11" s="40">
        <f>IF($B11="","",IF(AI11+AJ11+AK11+AM11=0,"",(AI11+AJ11)/(AI11+AJ11+AK11+AM11)))</f>
        <v/>
      </c>
      <c r="AO11" s="41">
        <f>IF($B11="","",IF('Employés'!D9="","",(AI11+AJ11+AL11)*'Employés'!D9))</f>
        <v/>
      </c>
    </row>
    <row r="12" ht="20" customHeight="1">
      <c r="A12" s="37">
        <f>IF('Employés'!B10="","",'Employés'!A10)</f>
        <v/>
      </c>
      <c r="B12" s="38">
        <f>IF('Employés'!B10="","",'Employés'!B10)</f>
        <v/>
      </c>
      <c r="C12" s="38">
        <f>IF('Employés'!C10="","",'Employés'!C10)</f>
        <v/>
      </c>
      <c r="D12" s="37" t="n"/>
      <c r="E12" s="37" t="n"/>
      <c r="F12" s="37" t="n"/>
      <c r="G12" s="37" t="n"/>
      <c r="H12" s="37" t="n"/>
      <c r="I12" s="37" t="n"/>
      <c r="J12" s="37" t="n"/>
      <c r="K12" s="37" t="n"/>
      <c r="L12" s="37" t="n"/>
      <c r="M12" s="37" t="n"/>
      <c r="N12" s="37" t="n"/>
      <c r="O12" s="37" t="n"/>
      <c r="P12" s="37" t="n"/>
      <c r="Q12" s="37" t="n"/>
      <c r="R12" s="37" t="n"/>
      <c r="S12" s="37" t="n"/>
      <c r="T12" s="37" t="n"/>
      <c r="U12" s="37" t="n"/>
      <c r="V12" s="37" t="n"/>
      <c r="W12" s="37" t="n"/>
      <c r="X12" s="37" t="n"/>
      <c r="Y12" s="37" t="n"/>
      <c r="Z12" s="37" t="n"/>
      <c r="AA12" s="37" t="n"/>
      <c r="AB12" s="37" t="n"/>
      <c r="AC12" s="37" t="n"/>
      <c r="AD12" s="37" t="n"/>
      <c r="AE12" s="37" t="n"/>
      <c r="AF12" s="37" t="n"/>
      <c r="AG12" s="37" t="n"/>
      <c r="AH12" s="37" t="n"/>
      <c r="AI12" s="39">
        <f>IF($B12="","",COUNTIF(D12:AH12,"P"))</f>
        <v/>
      </c>
      <c r="AJ12" s="39">
        <f>IF($B12="","",COUNTIF(D12:AH12,"R"))</f>
        <v/>
      </c>
      <c r="AK12" s="39">
        <f>IF($B12="","",COUNTIF(D12:AH12,"A"))</f>
        <v/>
      </c>
      <c r="AL12" s="39">
        <f>IF($B12="","",COUNTIF(D12:AH12,"C"))</f>
        <v/>
      </c>
      <c r="AM12" s="39">
        <f>IF($B12="","",COUNTIF(D12:AH12,"M"))</f>
        <v/>
      </c>
      <c r="AN12" s="40">
        <f>IF($B12="","",IF(AI12+AJ12+AK12+AM12=0,"",(AI12+AJ12)/(AI12+AJ12+AK12+AM12)))</f>
        <v/>
      </c>
      <c r="AO12" s="41">
        <f>IF($B12="","",IF('Employés'!D10="","",(AI12+AJ12+AL12)*'Employés'!D10))</f>
        <v/>
      </c>
    </row>
    <row r="13" ht="20" customHeight="1">
      <c r="A13" s="37">
        <f>IF('Employés'!B11="","",'Employés'!A11)</f>
        <v/>
      </c>
      <c r="B13" s="38">
        <f>IF('Employés'!B11="","",'Employés'!B11)</f>
        <v/>
      </c>
      <c r="C13" s="38">
        <f>IF('Employés'!C11="","",'Employés'!C11)</f>
        <v/>
      </c>
      <c r="D13" s="37" t="n"/>
      <c r="E13" s="37" t="n"/>
      <c r="F13" s="37" t="n"/>
      <c r="G13" s="37" t="n"/>
      <c r="H13" s="37" t="n"/>
      <c r="I13" s="37" t="n"/>
      <c r="J13" s="37" t="n"/>
      <c r="K13" s="37" t="n"/>
      <c r="L13" s="37" t="n"/>
      <c r="M13" s="37" t="n"/>
      <c r="N13" s="37" t="n"/>
      <c r="O13" s="37" t="n"/>
      <c r="P13" s="37" t="n"/>
      <c r="Q13" s="37" t="n"/>
      <c r="R13" s="37" t="n"/>
      <c r="S13" s="37" t="n"/>
      <c r="T13" s="37" t="n"/>
      <c r="U13" s="37" t="n"/>
      <c r="V13" s="37" t="n"/>
      <c r="W13" s="37" t="n"/>
      <c r="X13" s="37" t="n"/>
      <c r="Y13" s="37" t="n"/>
      <c r="Z13" s="37" t="n"/>
      <c r="AA13" s="37" t="n"/>
      <c r="AB13" s="37" t="n"/>
      <c r="AC13" s="37" t="n"/>
      <c r="AD13" s="37" t="n"/>
      <c r="AE13" s="37" t="n"/>
      <c r="AF13" s="37" t="n"/>
      <c r="AG13" s="37" t="n"/>
      <c r="AH13" s="37" t="n"/>
      <c r="AI13" s="39">
        <f>IF($B13="","",COUNTIF(D13:AH13,"P"))</f>
        <v/>
      </c>
      <c r="AJ13" s="39">
        <f>IF($B13="","",COUNTIF(D13:AH13,"R"))</f>
        <v/>
      </c>
      <c r="AK13" s="39">
        <f>IF($B13="","",COUNTIF(D13:AH13,"A"))</f>
        <v/>
      </c>
      <c r="AL13" s="39">
        <f>IF($B13="","",COUNTIF(D13:AH13,"C"))</f>
        <v/>
      </c>
      <c r="AM13" s="39">
        <f>IF($B13="","",COUNTIF(D13:AH13,"M"))</f>
        <v/>
      </c>
      <c r="AN13" s="40">
        <f>IF($B13="","",IF(AI13+AJ13+AK13+AM13=0,"",(AI13+AJ13)/(AI13+AJ13+AK13+AM13)))</f>
        <v/>
      </c>
      <c r="AO13" s="41">
        <f>IF($B13="","",IF('Employés'!D11="","",(AI13+AJ13+AL13)*'Employés'!D11))</f>
        <v/>
      </c>
    </row>
    <row r="14" ht="20" customHeight="1">
      <c r="A14" s="37">
        <f>IF('Employés'!B12="","",'Employés'!A12)</f>
        <v/>
      </c>
      <c r="B14" s="38">
        <f>IF('Employés'!B12="","",'Employés'!B12)</f>
        <v/>
      </c>
      <c r="C14" s="38">
        <f>IF('Employés'!C12="","",'Employés'!C12)</f>
        <v/>
      </c>
      <c r="D14" s="37" t="n"/>
      <c r="E14" s="37" t="n"/>
      <c r="F14" s="37" t="n"/>
      <c r="G14" s="37" t="n"/>
      <c r="H14" s="37" t="n"/>
      <c r="I14" s="37" t="n"/>
      <c r="J14" s="37" t="n"/>
      <c r="K14" s="37" t="n"/>
      <c r="L14" s="37" t="n"/>
      <c r="M14" s="37" t="n"/>
      <c r="N14" s="37" t="n"/>
      <c r="O14" s="37" t="n"/>
      <c r="P14" s="37" t="n"/>
      <c r="Q14" s="37" t="n"/>
      <c r="R14" s="37" t="n"/>
      <c r="S14" s="37" t="n"/>
      <c r="T14" s="37" t="n"/>
      <c r="U14" s="37" t="n"/>
      <c r="V14" s="37" t="n"/>
      <c r="W14" s="37" t="n"/>
      <c r="X14" s="37" t="n"/>
      <c r="Y14" s="37" t="n"/>
      <c r="Z14" s="37" t="n"/>
      <c r="AA14" s="37" t="n"/>
      <c r="AB14" s="37" t="n"/>
      <c r="AC14" s="37" t="n"/>
      <c r="AD14" s="37" t="n"/>
      <c r="AE14" s="37" t="n"/>
      <c r="AF14" s="37" t="n"/>
      <c r="AG14" s="37" t="n"/>
      <c r="AH14" s="37" t="n"/>
      <c r="AI14" s="39">
        <f>IF($B14="","",COUNTIF(D14:AH14,"P"))</f>
        <v/>
      </c>
      <c r="AJ14" s="39">
        <f>IF($B14="","",COUNTIF(D14:AH14,"R"))</f>
        <v/>
      </c>
      <c r="AK14" s="39">
        <f>IF($B14="","",COUNTIF(D14:AH14,"A"))</f>
        <v/>
      </c>
      <c r="AL14" s="39">
        <f>IF($B14="","",COUNTIF(D14:AH14,"C"))</f>
        <v/>
      </c>
      <c r="AM14" s="39">
        <f>IF($B14="","",COUNTIF(D14:AH14,"M"))</f>
        <v/>
      </c>
      <c r="AN14" s="40">
        <f>IF($B14="","",IF(AI14+AJ14+AK14+AM14=0,"",(AI14+AJ14)/(AI14+AJ14+AK14+AM14)))</f>
        <v/>
      </c>
      <c r="AO14" s="41">
        <f>IF($B14="","",IF('Employés'!D12="","",(AI14+AJ14+AL14)*'Employés'!D12))</f>
        <v/>
      </c>
    </row>
    <row r="15" ht="20" customHeight="1">
      <c r="A15" s="37">
        <f>IF('Employés'!B13="","",'Employés'!A13)</f>
        <v/>
      </c>
      <c r="B15" s="38">
        <f>IF('Employés'!B13="","",'Employés'!B13)</f>
        <v/>
      </c>
      <c r="C15" s="38">
        <f>IF('Employés'!C13="","",'Employés'!C13)</f>
        <v/>
      </c>
      <c r="D15" s="37" t="n"/>
      <c r="E15" s="37" t="n"/>
      <c r="F15" s="37" t="n"/>
      <c r="G15" s="37" t="n"/>
      <c r="H15" s="37" t="n"/>
      <c r="I15" s="37" t="n"/>
      <c r="J15" s="37" t="n"/>
      <c r="K15" s="37" t="n"/>
      <c r="L15" s="37" t="n"/>
      <c r="M15" s="37" t="n"/>
      <c r="N15" s="37" t="n"/>
      <c r="O15" s="37" t="n"/>
      <c r="P15" s="37" t="n"/>
      <c r="Q15" s="37" t="n"/>
      <c r="R15" s="37" t="n"/>
      <c r="S15" s="37" t="n"/>
      <c r="T15" s="37" t="n"/>
      <c r="U15" s="37" t="n"/>
      <c r="V15" s="37" t="n"/>
      <c r="W15" s="37" t="n"/>
      <c r="X15" s="37" t="n"/>
      <c r="Y15" s="37" t="n"/>
      <c r="Z15" s="37" t="n"/>
      <c r="AA15" s="37" t="n"/>
      <c r="AB15" s="37" t="n"/>
      <c r="AC15" s="37" t="n"/>
      <c r="AD15" s="37" t="n"/>
      <c r="AE15" s="37" t="n"/>
      <c r="AF15" s="37" t="n"/>
      <c r="AG15" s="37" t="n"/>
      <c r="AH15" s="37" t="n"/>
      <c r="AI15" s="39">
        <f>IF($B15="","",COUNTIF(D15:AH15,"P"))</f>
        <v/>
      </c>
      <c r="AJ15" s="39">
        <f>IF($B15="","",COUNTIF(D15:AH15,"R"))</f>
        <v/>
      </c>
      <c r="AK15" s="39">
        <f>IF($B15="","",COUNTIF(D15:AH15,"A"))</f>
        <v/>
      </c>
      <c r="AL15" s="39">
        <f>IF($B15="","",COUNTIF(D15:AH15,"C"))</f>
        <v/>
      </c>
      <c r="AM15" s="39">
        <f>IF($B15="","",COUNTIF(D15:AH15,"M"))</f>
        <v/>
      </c>
      <c r="AN15" s="40">
        <f>IF($B15="","",IF(AI15+AJ15+AK15+AM15=0,"",(AI15+AJ15)/(AI15+AJ15+AK15+AM15)))</f>
        <v/>
      </c>
      <c r="AO15" s="41">
        <f>IF($B15="","",IF('Employés'!D13="","",(AI15+AJ15+AL15)*'Employés'!D13))</f>
        <v/>
      </c>
    </row>
    <row r="16" ht="20" customHeight="1">
      <c r="A16" s="37">
        <f>IF('Employés'!B14="","",'Employés'!A14)</f>
        <v/>
      </c>
      <c r="B16" s="38">
        <f>IF('Employés'!B14="","",'Employés'!B14)</f>
        <v/>
      </c>
      <c r="C16" s="38">
        <f>IF('Employés'!C14="","",'Employés'!C14)</f>
        <v/>
      </c>
      <c r="D16" s="37" t="n"/>
      <c r="E16" s="37" t="n"/>
      <c r="F16" s="37" t="n"/>
      <c r="G16" s="37" t="n"/>
      <c r="H16" s="37" t="n"/>
      <c r="I16" s="37" t="n"/>
      <c r="J16" s="37" t="n"/>
      <c r="K16" s="37" t="n"/>
      <c r="L16" s="37" t="n"/>
      <c r="M16" s="37" t="n"/>
      <c r="N16" s="37" t="n"/>
      <c r="O16" s="37" t="n"/>
      <c r="P16" s="37" t="n"/>
      <c r="Q16" s="37" t="n"/>
      <c r="R16" s="37" t="n"/>
      <c r="S16" s="37" t="n"/>
      <c r="T16" s="37" t="n"/>
      <c r="U16" s="37" t="n"/>
      <c r="V16" s="37" t="n"/>
      <c r="W16" s="37" t="n"/>
      <c r="X16" s="37" t="n"/>
      <c r="Y16" s="37" t="n"/>
      <c r="Z16" s="37" t="n"/>
      <c r="AA16" s="37" t="n"/>
      <c r="AB16" s="37" t="n"/>
      <c r="AC16" s="37" t="n"/>
      <c r="AD16" s="37" t="n"/>
      <c r="AE16" s="37" t="n"/>
      <c r="AF16" s="37" t="n"/>
      <c r="AG16" s="37" t="n"/>
      <c r="AH16" s="37" t="n"/>
      <c r="AI16" s="39">
        <f>IF($B16="","",COUNTIF(D16:AH16,"P"))</f>
        <v/>
      </c>
      <c r="AJ16" s="39">
        <f>IF($B16="","",COUNTIF(D16:AH16,"R"))</f>
        <v/>
      </c>
      <c r="AK16" s="39">
        <f>IF($B16="","",COUNTIF(D16:AH16,"A"))</f>
        <v/>
      </c>
      <c r="AL16" s="39">
        <f>IF($B16="","",COUNTIF(D16:AH16,"C"))</f>
        <v/>
      </c>
      <c r="AM16" s="39">
        <f>IF($B16="","",COUNTIF(D16:AH16,"M"))</f>
        <v/>
      </c>
      <c r="AN16" s="40">
        <f>IF($B16="","",IF(AI16+AJ16+AK16+AM16=0,"",(AI16+AJ16)/(AI16+AJ16+AK16+AM16)))</f>
        <v/>
      </c>
      <c r="AO16" s="41">
        <f>IF($B16="","",IF('Employés'!D14="","",(AI16+AJ16+AL16)*'Employés'!D14))</f>
        <v/>
      </c>
    </row>
    <row r="17" ht="20" customHeight="1">
      <c r="A17" s="37">
        <f>IF('Employés'!B15="","",'Employés'!A15)</f>
        <v/>
      </c>
      <c r="B17" s="38">
        <f>IF('Employés'!B15="","",'Employés'!B15)</f>
        <v/>
      </c>
      <c r="C17" s="38">
        <f>IF('Employés'!C15="","",'Employés'!C15)</f>
        <v/>
      </c>
      <c r="D17" s="37" t="n"/>
      <c r="E17" s="37" t="n"/>
      <c r="F17" s="37" t="n"/>
      <c r="G17" s="37" t="n"/>
      <c r="H17" s="37" t="n"/>
      <c r="I17" s="37" t="n"/>
      <c r="J17" s="37" t="n"/>
      <c r="K17" s="37" t="n"/>
      <c r="L17" s="37" t="n"/>
      <c r="M17" s="37" t="n"/>
      <c r="N17" s="37" t="n"/>
      <c r="O17" s="37" t="n"/>
      <c r="P17" s="37" t="n"/>
      <c r="Q17" s="37" t="n"/>
      <c r="R17" s="37" t="n"/>
      <c r="S17" s="37" t="n"/>
      <c r="T17" s="37" t="n"/>
      <c r="U17" s="37" t="n"/>
      <c r="V17" s="37" t="n"/>
      <c r="W17" s="37" t="n"/>
      <c r="X17" s="37" t="n"/>
      <c r="Y17" s="37" t="n"/>
      <c r="Z17" s="37" t="n"/>
      <c r="AA17" s="37" t="n"/>
      <c r="AB17" s="37" t="n"/>
      <c r="AC17" s="37" t="n"/>
      <c r="AD17" s="37" t="n"/>
      <c r="AE17" s="37" t="n"/>
      <c r="AF17" s="37" t="n"/>
      <c r="AG17" s="37" t="n"/>
      <c r="AH17" s="37" t="n"/>
      <c r="AI17" s="39">
        <f>IF($B17="","",COUNTIF(D17:AH17,"P"))</f>
        <v/>
      </c>
      <c r="AJ17" s="39">
        <f>IF($B17="","",COUNTIF(D17:AH17,"R"))</f>
        <v/>
      </c>
      <c r="AK17" s="39">
        <f>IF($B17="","",COUNTIF(D17:AH17,"A"))</f>
        <v/>
      </c>
      <c r="AL17" s="39">
        <f>IF($B17="","",COUNTIF(D17:AH17,"C"))</f>
        <v/>
      </c>
      <c r="AM17" s="39">
        <f>IF($B17="","",COUNTIF(D17:AH17,"M"))</f>
        <v/>
      </c>
      <c r="AN17" s="40">
        <f>IF($B17="","",IF(AI17+AJ17+AK17+AM17=0,"",(AI17+AJ17)/(AI17+AJ17+AK17+AM17)))</f>
        <v/>
      </c>
      <c r="AO17" s="41">
        <f>IF($B17="","",IF('Employés'!D15="","",(AI17+AJ17+AL17)*'Employés'!D15))</f>
        <v/>
      </c>
    </row>
    <row r="18" ht="20" customHeight="1">
      <c r="A18" s="37">
        <f>IF('Employés'!B16="","",'Employés'!A16)</f>
        <v/>
      </c>
      <c r="B18" s="38">
        <f>IF('Employés'!B16="","",'Employés'!B16)</f>
        <v/>
      </c>
      <c r="C18" s="38">
        <f>IF('Employés'!C16="","",'Employés'!C16)</f>
        <v/>
      </c>
      <c r="D18" s="37" t="n"/>
      <c r="E18" s="37" t="n"/>
      <c r="F18" s="37" t="n"/>
      <c r="G18" s="37" t="n"/>
      <c r="H18" s="37" t="n"/>
      <c r="I18" s="37" t="n"/>
      <c r="J18" s="37" t="n"/>
      <c r="K18" s="37" t="n"/>
      <c r="L18" s="37" t="n"/>
      <c r="M18" s="37" t="n"/>
      <c r="N18" s="37" t="n"/>
      <c r="O18" s="37" t="n"/>
      <c r="P18" s="37" t="n"/>
      <c r="Q18" s="37" t="n"/>
      <c r="R18" s="37" t="n"/>
      <c r="S18" s="37" t="n"/>
      <c r="T18" s="37" t="n"/>
      <c r="U18" s="37" t="n"/>
      <c r="V18" s="37" t="n"/>
      <c r="W18" s="37" t="n"/>
      <c r="X18" s="37" t="n"/>
      <c r="Y18" s="37" t="n"/>
      <c r="Z18" s="37" t="n"/>
      <c r="AA18" s="37" t="n"/>
      <c r="AB18" s="37" t="n"/>
      <c r="AC18" s="37" t="n"/>
      <c r="AD18" s="37" t="n"/>
      <c r="AE18" s="37" t="n"/>
      <c r="AF18" s="37" t="n"/>
      <c r="AG18" s="37" t="n"/>
      <c r="AH18" s="37" t="n"/>
      <c r="AI18" s="39">
        <f>IF($B18="","",COUNTIF(D18:AH18,"P"))</f>
        <v/>
      </c>
      <c r="AJ18" s="39">
        <f>IF($B18="","",COUNTIF(D18:AH18,"R"))</f>
        <v/>
      </c>
      <c r="AK18" s="39">
        <f>IF($B18="","",COUNTIF(D18:AH18,"A"))</f>
        <v/>
      </c>
      <c r="AL18" s="39">
        <f>IF($B18="","",COUNTIF(D18:AH18,"C"))</f>
        <v/>
      </c>
      <c r="AM18" s="39">
        <f>IF($B18="","",COUNTIF(D18:AH18,"M"))</f>
        <v/>
      </c>
      <c r="AN18" s="40">
        <f>IF($B18="","",IF(AI18+AJ18+AK18+AM18=0,"",(AI18+AJ18)/(AI18+AJ18+AK18+AM18)))</f>
        <v/>
      </c>
      <c r="AO18" s="41">
        <f>IF($B18="","",IF('Employés'!D16="","",(AI18+AJ18+AL18)*'Employés'!D16))</f>
        <v/>
      </c>
    </row>
    <row r="19" ht="20" customHeight="1">
      <c r="A19" s="37">
        <f>IF('Employés'!B17="","",'Employés'!A17)</f>
        <v/>
      </c>
      <c r="B19" s="38">
        <f>IF('Employés'!B17="","",'Employés'!B17)</f>
        <v/>
      </c>
      <c r="C19" s="38">
        <f>IF('Employés'!C17="","",'Employés'!C17)</f>
        <v/>
      </c>
      <c r="D19" s="37" t="n"/>
      <c r="E19" s="37" t="n"/>
      <c r="F19" s="37" t="n"/>
      <c r="G19" s="37" t="n"/>
      <c r="H19" s="37" t="n"/>
      <c r="I19" s="37" t="n"/>
      <c r="J19" s="37" t="n"/>
      <c r="K19" s="37" t="n"/>
      <c r="L19" s="37" t="n"/>
      <c r="M19" s="37" t="n"/>
      <c r="N19" s="37" t="n"/>
      <c r="O19" s="37" t="n"/>
      <c r="P19" s="37" t="n"/>
      <c r="Q19" s="37" t="n"/>
      <c r="R19" s="37" t="n"/>
      <c r="S19" s="37" t="n"/>
      <c r="T19" s="37" t="n"/>
      <c r="U19" s="37" t="n"/>
      <c r="V19" s="37" t="n"/>
      <c r="W19" s="37" t="n"/>
      <c r="X19" s="37" t="n"/>
      <c r="Y19" s="37" t="n"/>
      <c r="Z19" s="37" t="n"/>
      <c r="AA19" s="37" t="n"/>
      <c r="AB19" s="37" t="n"/>
      <c r="AC19" s="37" t="n"/>
      <c r="AD19" s="37" t="n"/>
      <c r="AE19" s="37" t="n"/>
      <c r="AF19" s="37" t="n"/>
      <c r="AG19" s="37" t="n"/>
      <c r="AH19" s="37" t="n"/>
      <c r="AI19" s="39">
        <f>IF($B19="","",COUNTIF(D19:AH19,"P"))</f>
        <v/>
      </c>
      <c r="AJ19" s="39">
        <f>IF($B19="","",COUNTIF(D19:AH19,"R"))</f>
        <v/>
      </c>
      <c r="AK19" s="39">
        <f>IF($B19="","",COUNTIF(D19:AH19,"A"))</f>
        <v/>
      </c>
      <c r="AL19" s="39">
        <f>IF($B19="","",COUNTIF(D19:AH19,"C"))</f>
        <v/>
      </c>
      <c r="AM19" s="39">
        <f>IF($B19="","",COUNTIF(D19:AH19,"M"))</f>
        <v/>
      </c>
      <c r="AN19" s="40">
        <f>IF($B19="","",IF(AI19+AJ19+AK19+AM19=0,"",(AI19+AJ19)/(AI19+AJ19+AK19+AM19)))</f>
        <v/>
      </c>
      <c r="AO19" s="41">
        <f>IF($B19="","",IF('Employés'!D17="","",(AI19+AJ19+AL19)*'Employés'!D17))</f>
        <v/>
      </c>
    </row>
    <row r="20" ht="20" customHeight="1">
      <c r="A20" s="37">
        <f>IF('Employés'!B18="","",'Employés'!A18)</f>
        <v/>
      </c>
      <c r="B20" s="38">
        <f>IF('Employés'!B18="","",'Employés'!B18)</f>
        <v/>
      </c>
      <c r="C20" s="38">
        <f>IF('Employés'!C18="","",'Employés'!C18)</f>
        <v/>
      </c>
      <c r="D20" s="37" t="n"/>
      <c r="E20" s="37" t="n"/>
      <c r="F20" s="37" t="n"/>
      <c r="G20" s="37" t="n"/>
      <c r="H20" s="37" t="n"/>
      <c r="I20" s="37" t="n"/>
      <c r="J20" s="37" t="n"/>
      <c r="K20" s="37" t="n"/>
      <c r="L20" s="37" t="n"/>
      <c r="M20" s="37" t="n"/>
      <c r="N20" s="37" t="n"/>
      <c r="O20" s="37" t="n"/>
      <c r="P20" s="37" t="n"/>
      <c r="Q20" s="37" t="n"/>
      <c r="R20" s="37" t="n"/>
      <c r="S20" s="37" t="n"/>
      <c r="T20" s="37" t="n"/>
      <c r="U20" s="37" t="n"/>
      <c r="V20" s="37" t="n"/>
      <c r="W20" s="37" t="n"/>
      <c r="X20" s="37" t="n"/>
      <c r="Y20" s="37" t="n"/>
      <c r="Z20" s="37" t="n"/>
      <c r="AA20" s="37" t="n"/>
      <c r="AB20" s="37" t="n"/>
      <c r="AC20" s="37" t="n"/>
      <c r="AD20" s="37" t="n"/>
      <c r="AE20" s="37" t="n"/>
      <c r="AF20" s="37" t="n"/>
      <c r="AG20" s="37" t="n"/>
      <c r="AH20" s="37" t="n"/>
      <c r="AI20" s="39">
        <f>IF($B20="","",COUNTIF(D20:AH20,"P"))</f>
        <v/>
      </c>
      <c r="AJ20" s="39">
        <f>IF($B20="","",COUNTIF(D20:AH20,"R"))</f>
        <v/>
      </c>
      <c r="AK20" s="39">
        <f>IF($B20="","",COUNTIF(D20:AH20,"A"))</f>
        <v/>
      </c>
      <c r="AL20" s="39">
        <f>IF($B20="","",COUNTIF(D20:AH20,"C"))</f>
        <v/>
      </c>
      <c r="AM20" s="39">
        <f>IF($B20="","",COUNTIF(D20:AH20,"M"))</f>
        <v/>
      </c>
      <c r="AN20" s="40">
        <f>IF($B20="","",IF(AI20+AJ20+AK20+AM20=0,"",(AI20+AJ20)/(AI20+AJ20+AK20+AM20)))</f>
        <v/>
      </c>
      <c r="AO20" s="41">
        <f>IF($B20="","",IF('Employés'!D18="","",(AI20+AJ20+AL20)*'Employés'!D18))</f>
        <v/>
      </c>
    </row>
    <row r="21" ht="20" customHeight="1">
      <c r="A21" s="37">
        <f>IF('Employés'!B19="","",'Employés'!A19)</f>
        <v/>
      </c>
      <c r="B21" s="38">
        <f>IF('Employés'!B19="","",'Employés'!B19)</f>
        <v/>
      </c>
      <c r="C21" s="38">
        <f>IF('Employés'!C19="","",'Employés'!C19)</f>
        <v/>
      </c>
      <c r="D21" s="37" t="n"/>
      <c r="E21" s="37" t="n"/>
      <c r="F21" s="37" t="n"/>
      <c r="G21" s="37" t="n"/>
      <c r="H21" s="37" t="n"/>
      <c r="I21" s="37" t="n"/>
      <c r="J21" s="37" t="n"/>
      <c r="K21" s="37" t="n"/>
      <c r="L21" s="37" t="n"/>
      <c r="M21" s="37" t="n"/>
      <c r="N21" s="37" t="n"/>
      <c r="O21" s="37" t="n"/>
      <c r="P21" s="37" t="n"/>
      <c r="Q21" s="37" t="n"/>
      <c r="R21" s="37" t="n"/>
      <c r="S21" s="37" t="n"/>
      <c r="T21" s="37" t="n"/>
      <c r="U21" s="37" t="n"/>
      <c r="V21" s="37" t="n"/>
      <c r="W21" s="37" t="n"/>
      <c r="X21" s="37" t="n"/>
      <c r="Y21" s="37" t="n"/>
      <c r="Z21" s="37" t="n"/>
      <c r="AA21" s="37" t="n"/>
      <c r="AB21" s="37" t="n"/>
      <c r="AC21" s="37" t="n"/>
      <c r="AD21" s="37" t="n"/>
      <c r="AE21" s="37" t="n"/>
      <c r="AF21" s="37" t="n"/>
      <c r="AG21" s="37" t="n"/>
      <c r="AH21" s="37" t="n"/>
      <c r="AI21" s="39">
        <f>IF($B21="","",COUNTIF(D21:AH21,"P"))</f>
        <v/>
      </c>
      <c r="AJ21" s="39">
        <f>IF($B21="","",COUNTIF(D21:AH21,"R"))</f>
        <v/>
      </c>
      <c r="AK21" s="39">
        <f>IF($B21="","",COUNTIF(D21:AH21,"A"))</f>
        <v/>
      </c>
      <c r="AL21" s="39">
        <f>IF($B21="","",COUNTIF(D21:AH21,"C"))</f>
        <v/>
      </c>
      <c r="AM21" s="39">
        <f>IF($B21="","",COUNTIF(D21:AH21,"M"))</f>
        <v/>
      </c>
      <c r="AN21" s="40">
        <f>IF($B21="","",IF(AI21+AJ21+AK21+AM21=0,"",(AI21+AJ21)/(AI21+AJ21+AK21+AM21)))</f>
        <v/>
      </c>
      <c r="AO21" s="41">
        <f>IF($B21="","",IF('Employés'!D19="","",(AI21+AJ21+AL21)*'Employés'!D19))</f>
        <v/>
      </c>
    </row>
    <row r="22" ht="20" customHeight="1">
      <c r="A22" s="37">
        <f>IF('Employés'!B20="","",'Employés'!A20)</f>
        <v/>
      </c>
      <c r="B22" s="38">
        <f>IF('Employés'!B20="","",'Employés'!B20)</f>
        <v/>
      </c>
      <c r="C22" s="38">
        <f>IF('Employés'!C20="","",'Employés'!C20)</f>
        <v/>
      </c>
      <c r="D22" s="37" t="n"/>
      <c r="E22" s="37" t="n"/>
      <c r="F22" s="37" t="n"/>
      <c r="G22" s="37" t="n"/>
      <c r="H22" s="37" t="n"/>
      <c r="I22" s="37" t="n"/>
      <c r="J22" s="37" t="n"/>
      <c r="K22" s="37" t="n"/>
      <c r="L22" s="37" t="n"/>
      <c r="M22" s="37" t="n"/>
      <c r="N22" s="37" t="n"/>
      <c r="O22" s="37" t="n"/>
      <c r="P22" s="37" t="n"/>
      <c r="Q22" s="37" t="n"/>
      <c r="R22" s="37" t="n"/>
      <c r="S22" s="37" t="n"/>
      <c r="T22" s="37" t="n"/>
      <c r="U22" s="37" t="n"/>
      <c r="V22" s="37" t="n"/>
      <c r="W22" s="37" t="n"/>
      <c r="X22" s="37" t="n"/>
      <c r="Y22" s="37" t="n"/>
      <c r="Z22" s="37" t="n"/>
      <c r="AA22" s="37" t="n"/>
      <c r="AB22" s="37" t="n"/>
      <c r="AC22" s="37" t="n"/>
      <c r="AD22" s="37" t="n"/>
      <c r="AE22" s="37" t="n"/>
      <c r="AF22" s="37" t="n"/>
      <c r="AG22" s="37" t="n"/>
      <c r="AH22" s="37" t="n"/>
      <c r="AI22" s="39">
        <f>IF($B22="","",COUNTIF(D22:AH22,"P"))</f>
        <v/>
      </c>
      <c r="AJ22" s="39">
        <f>IF($B22="","",COUNTIF(D22:AH22,"R"))</f>
        <v/>
      </c>
      <c r="AK22" s="39">
        <f>IF($B22="","",COUNTIF(D22:AH22,"A"))</f>
        <v/>
      </c>
      <c r="AL22" s="39">
        <f>IF($B22="","",COUNTIF(D22:AH22,"C"))</f>
        <v/>
      </c>
      <c r="AM22" s="39">
        <f>IF($B22="","",COUNTIF(D22:AH22,"M"))</f>
        <v/>
      </c>
      <c r="AN22" s="40">
        <f>IF($B22="","",IF(AI22+AJ22+AK22+AM22=0,"",(AI22+AJ22)/(AI22+AJ22+AK22+AM22)))</f>
        <v/>
      </c>
      <c r="AO22" s="41">
        <f>IF($B22="","",IF('Employés'!D20="","",(AI22+AJ22+AL22)*'Employés'!D20))</f>
        <v/>
      </c>
    </row>
    <row r="23" ht="20" customHeight="1">
      <c r="A23" s="37">
        <f>IF('Employés'!B21="","",'Employés'!A21)</f>
        <v/>
      </c>
      <c r="B23" s="38">
        <f>IF('Employés'!B21="","",'Employés'!B21)</f>
        <v/>
      </c>
      <c r="C23" s="38">
        <f>IF('Employés'!C21="","",'Employés'!C21)</f>
        <v/>
      </c>
      <c r="D23" s="37" t="n"/>
      <c r="E23" s="37" t="n"/>
      <c r="F23" s="37" t="n"/>
      <c r="G23" s="37" t="n"/>
      <c r="H23" s="37" t="n"/>
      <c r="I23" s="37" t="n"/>
      <c r="J23" s="37" t="n"/>
      <c r="K23" s="37" t="n"/>
      <c r="L23" s="37" t="n"/>
      <c r="M23" s="37" t="n"/>
      <c r="N23" s="37" t="n"/>
      <c r="O23" s="37" t="n"/>
      <c r="P23" s="37" t="n"/>
      <c r="Q23" s="37" t="n"/>
      <c r="R23" s="37" t="n"/>
      <c r="S23" s="37" t="n"/>
      <c r="T23" s="37" t="n"/>
      <c r="U23" s="37" t="n"/>
      <c r="V23" s="37" t="n"/>
      <c r="W23" s="37" t="n"/>
      <c r="X23" s="37" t="n"/>
      <c r="Y23" s="37" t="n"/>
      <c r="Z23" s="37" t="n"/>
      <c r="AA23" s="37" t="n"/>
      <c r="AB23" s="37" t="n"/>
      <c r="AC23" s="37" t="n"/>
      <c r="AD23" s="37" t="n"/>
      <c r="AE23" s="37" t="n"/>
      <c r="AF23" s="37" t="n"/>
      <c r="AG23" s="37" t="n"/>
      <c r="AH23" s="37" t="n"/>
      <c r="AI23" s="39">
        <f>IF($B23="","",COUNTIF(D23:AH23,"P"))</f>
        <v/>
      </c>
      <c r="AJ23" s="39">
        <f>IF($B23="","",COUNTIF(D23:AH23,"R"))</f>
        <v/>
      </c>
      <c r="AK23" s="39">
        <f>IF($B23="","",COUNTIF(D23:AH23,"A"))</f>
        <v/>
      </c>
      <c r="AL23" s="39">
        <f>IF($B23="","",COUNTIF(D23:AH23,"C"))</f>
        <v/>
      </c>
      <c r="AM23" s="39">
        <f>IF($B23="","",COUNTIF(D23:AH23,"M"))</f>
        <v/>
      </c>
      <c r="AN23" s="40">
        <f>IF($B23="","",IF(AI23+AJ23+AK23+AM23=0,"",(AI23+AJ23)/(AI23+AJ23+AK23+AM23)))</f>
        <v/>
      </c>
      <c r="AO23" s="41">
        <f>IF($B23="","",IF('Employés'!D21="","",(AI23+AJ23+AL23)*'Employés'!D21))</f>
        <v/>
      </c>
    </row>
    <row r="24" ht="20" customHeight="1">
      <c r="A24" s="37">
        <f>IF('Employés'!B22="","",'Employés'!A22)</f>
        <v/>
      </c>
      <c r="B24" s="38">
        <f>IF('Employés'!B22="","",'Employés'!B22)</f>
        <v/>
      </c>
      <c r="C24" s="38">
        <f>IF('Employés'!C22="","",'Employés'!C22)</f>
        <v/>
      </c>
      <c r="D24" s="37" t="n"/>
      <c r="E24" s="37" t="n"/>
      <c r="F24" s="37" t="n"/>
      <c r="G24" s="37" t="n"/>
      <c r="H24" s="37" t="n"/>
      <c r="I24" s="37" t="n"/>
      <c r="J24" s="37" t="n"/>
      <c r="K24" s="37" t="n"/>
      <c r="L24" s="37" t="n"/>
      <c r="M24" s="37" t="n"/>
      <c r="N24" s="37" t="n"/>
      <c r="O24" s="37" t="n"/>
      <c r="P24" s="37" t="n"/>
      <c r="Q24" s="37" t="n"/>
      <c r="R24" s="37" t="n"/>
      <c r="S24" s="37" t="n"/>
      <c r="T24" s="37" t="n"/>
      <c r="U24" s="37" t="n"/>
      <c r="V24" s="37" t="n"/>
      <c r="W24" s="37" t="n"/>
      <c r="X24" s="37" t="n"/>
      <c r="Y24" s="37" t="n"/>
      <c r="Z24" s="37" t="n"/>
      <c r="AA24" s="37" t="n"/>
      <c r="AB24" s="37" t="n"/>
      <c r="AC24" s="37" t="n"/>
      <c r="AD24" s="37" t="n"/>
      <c r="AE24" s="37" t="n"/>
      <c r="AF24" s="37" t="n"/>
      <c r="AG24" s="37" t="n"/>
      <c r="AH24" s="37" t="n"/>
      <c r="AI24" s="39">
        <f>IF($B24="","",COUNTIF(D24:AH24,"P"))</f>
        <v/>
      </c>
      <c r="AJ24" s="39">
        <f>IF($B24="","",COUNTIF(D24:AH24,"R"))</f>
        <v/>
      </c>
      <c r="AK24" s="39">
        <f>IF($B24="","",COUNTIF(D24:AH24,"A"))</f>
        <v/>
      </c>
      <c r="AL24" s="39">
        <f>IF($B24="","",COUNTIF(D24:AH24,"C"))</f>
        <v/>
      </c>
      <c r="AM24" s="39">
        <f>IF($B24="","",COUNTIF(D24:AH24,"M"))</f>
        <v/>
      </c>
      <c r="AN24" s="40">
        <f>IF($B24="","",IF(AI24+AJ24+AK24+AM24=0,"",(AI24+AJ24)/(AI24+AJ24+AK24+AM24)))</f>
        <v/>
      </c>
      <c r="AO24" s="41">
        <f>IF($B24="","",IF('Employés'!D22="","",(AI24+AJ24+AL24)*'Employés'!D22))</f>
        <v/>
      </c>
    </row>
    <row r="25" ht="20" customHeight="1">
      <c r="A25" s="37">
        <f>IF('Employés'!B23="","",'Employés'!A23)</f>
        <v/>
      </c>
      <c r="B25" s="38">
        <f>IF('Employés'!B23="","",'Employés'!B23)</f>
        <v/>
      </c>
      <c r="C25" s="38">
        <f>IF('Employés'!C23="","",'Employés'!C23)</f>
        <v/>
      </c>
      <c r="D25" s="37" t="n"/>
      <c r="E25" s="37" t="n"/>
      <c r="F25" s="37" t="n"/>
      <c r="G25" s="37" t="n"/>
      <c r="H25" s="37" t="n"/>
      <c r="I25" s="37" t="n"/>
      <c r="J25" s="37" t="n"/>
      <c r="K25" s="37" t="n"/>
      <c r="L25" s="37" t="n"/>
      <c r="M25" s="37" t="n"/>
      <c r="N25" s="37" t="n"/>
      <c r="O25" s="37" t="n"/>
      <c r="P25" s="37" t="n"/>
      <c r="Q25" s="37" t="n"/>
      <c r="R25" s="37" t="n"/>
      <c r="S25" s="37" t="n"/>
      <c r="T25" s="37" t="n"/>
      <c r="U25" s="37" t="n"/>
      <c r="V25" s="37" t="n"/>
      <c r="W25" s="37" t="n"/>
      <c r="X25" s="37" t="n"/>
      <c r="Y25" s="37" t="n"/>
      <c r="Z25" s="37" t="n"/>
      <c r="AA25" s="37" t="n"/>
      <c r="AB25" s="37" t="n"/>
      <c r="AC25" s="37" t="n"/>
      <c r="AD25" s="37" t="n"/>
      <c r="AE25" s="37" t="n"/>
      <c r="AF25" s="37" t="n"/>
      <c r="AG25" s="37" t="n"/>
      <c r="AH25" s="37" t="n"/>
      <c r="AI25" s="39">
        <f>IF($B25="","",COUNTIF(D25:AH25,"P"))</f>
        <v/>
      </c>
      <c r="AJ25" s="39">
        <f>IF($B25="","",COUNTIF(D25:AH25,"R"))</f>
        <v/>
      </c>
      <c r="AK25" s="39">
        <f>IF($B25="","",COUNTIF(D25:AH25,"A"))</f>
        <v/>
      </c>
      <c r="AL25" s="39">
        <f>IF($B25="","",COUNTIF(D25:AH25,"C"))</f>
        <v/>
      </c>
      <c r="AM25" s="39">
        <f>IF($B25="","",COUNTIF(D25:AH25,"M"))</f>
        <v/>
      </c>
      <c r="AN25" s="40">
        <f>IF($B25="","",IF(AI25+AJ25+AK25+AM25=0,"",(AI25+AJ25)/(AI25+AJ25+AK25+AM25)))</f>
        <v/>
      </c>
      <c r="AO25" s="41">
        <f>IF($B25="","",IF('Employés'!D23="","",(AI25+AJ25+AL25)*'Employés'!D23))</f>
        <v/>
      </c>
    </row>
    <row r="26" ht="20" customHeight="1">
      <c r="A26" s="37">
        <f>IF('Employés'!B24="","",'Employés'!A24)</f>
        <v/>
      </c>
      <c r="B26" s="38">
        <f>IF('Employés'!B24="","",'Employés'!B24)</f>
        <v/>
      </c>
      <c r="C26" s="38">
        <f>IF('Employés'!C24="","",'Employés'!C24)</f>
        <v/>
      </c>
      <c r="D26" s="37" t="n"/>
      <c r="E26" s="37" t="n"/>
      <c r="F26" s="37" t="n"/>
      <c r="G26" s="37" t="n"/>
      <c r="H26" s="37" t="n"/>
      <c r="I26" s="37" t="n"/>
      <c r="J26" s="37" t="n"/>
      <c r="K26" s="37" t="n"/>
      <c r="L26" s="37" t="n"/>
      <c r="M26" s="37" t="n"/>
      <c r="N26" s="37" t="n"/>
      <c r="O26" s="37" t="n"/>
      <c r="P26" s="37" t="n"/>
      <c r="Q26" s="37" t="n"/>
      <c r="R26" s="37" t="n"/>
      <c r="S26" s="37" t="n"/>
      <c r="T26" s="37" t="n"/>
      <c r="U26" s="37" t="n"/>
      <c r="V26" s="37" t="n"/>
      <c r="W26" s="37" t="n"/>
      <c r="X26" s="37" t="n"/>
      <c r="Y26" s="37" t="n"/>
      <c r="Z26" s="37" t="n"/>
      <c r="AA26" s="37" t="n"/>
      <c r="AB26" s="37" t="n"/>
      <c r="AC26" s="37" t="n"/>
      <c r="AD26" s="37" t="n"/>
      <c r="AE26" s="37" t="n"/>
      <c r="AF26" s="37" t="n"/>
      <c r="AG26" s="37" t="n"/>
      <c r="AH26" s="37" t="n"/>
      <c r="AI26" s="39">
        <f>IF($B26="","",COUNTIF(D26:AH26,"P"))</f>
        <v/>
      </c>
      <c r="AJ26" s="39">
        <f>IF($B26="","",COUNTIF(D26:AH26,"R"))</f>
        <v/>
      </c>
      <c r="AK26" s="39">
        <f>IF($B26="","",COUNTIF(D26:AH26,"A"))</f>
        <v/>
      </c>
      <c r="AL26" s="39">
        <f>IF($B26="","",COUNTIF(D26:AH26,"C"))</f>
        <v/>
      </c>
      <c r="AM26" s="39">
        <f>IF($B26="","",COUNTIF(D26:AH26,"M"))</f>
        <v/>
      </c>
      <c r="AN26" s="40">
        <f>IF($B26="","",IF(AI26+AJ26+AK26+AM26=0,"",(AI26+AJ26)/(AI26+AJ26+AK26+AM26)))</f>
        <v/>
      </c>
      <c r="AO26" s="41">
        <f>IF($B26="","",IF('Employés'!D24="","",(AI26+AJ26+AL26)*'Employés'!D24))</f>
        <v/>
      </c>
    </row>
    <row r="27" ht="20" customHeight="1">
      <c r="A27" s="37">
        <f>IF('Employés'!B25="","",'Employés'!A25)</f>
        <v/>
      </c>
      <c r="B27" s="38">
        <f>IF('Employés'!B25="","",'Employés'!B25)</f>
        <v/>
      </c>
      <c r="C27" s="38">
        <f>IF('Employés'!C25="","",'Employés'!C25)</f>
        <v/>
      </c>
      <c r="D27" s="37" t="n"/>
      <c r="E27" s="37" t="n"/>
      <c r="F27" s="37" t="n"/>
      <c r="G27" s="37" t="n"/>
      <c r="H27" s="37" t="n"/>
      <c r="I27" s="37" t="n"/>
      <c r="J27" s="37" t="n"/>
      <c r="K27" s="37" t="n"/>
      <c r="L27" s="37" t="n"/>
      <c r="M27" s="37" t="n"/>
      <c r="N27" s="37" t="n"/>
      <c r="O27" s="37" t="n"/>
      <c r="P27" s="37" t="n"/>
      <c r="Q27" s="37" t="n"/>
      <c r="R27" s="37" t="n"/>
      <c r="S27" s="37" t="n"/>
      <c r="T27" s="37" t="n"/>
      <c r="U27" s="37" t="n"/>
      <c r="V27" s="37" t="n"/>
      <c r="W27" s="37" t="n"/>
      <c r="X27" s="37" t="n"/>
      <c r="Y27" s="37" t="n"/>
      <c r="Z27" s="37" t="n"/>
      <c r="AA27" s="37" t="n"/>
      <c r="AB27" s="37" t="n"/>
      <c r="AC27" s="37" t="n"/>
      <c r="AD27" s="37" t="n"/>
      <c r="AE27" s="37" t="n"/>
      <c r="AF27" s="37" t="n"/>
      <c r="AG27" s="37" t="n"/>
      <c r="AH27" s="37" t="n"/>
      <c r="AI27" s="39">
        <f>IF($B27="","",COUNTIF(D27:AH27,"P"))</f>
        <v/>
      </c>
      <c r="AJ27" s="39">
        <f>IF($B27="","",COUNTIF(D27:AH27,"R"))</f>
        <v/>
      </c>
      <c r="AK27" s="39">
        <f>IF($B27="","",COUNTIF(D27:AH27,"A"))</f>
        <v/>
      </c>
      <c r="AL27" s="39">
        <f>IF($B27="","",COUNTIF(D27:AH27,"C"))</f>
        <v/>
      </c>
      <c r="AM27" s="39">
        <f>IF($B27="","",COUNTIF(D27:AH27,"M"))</f>
        <v/>
      </c>
      <c r="AN27" s="40">
        <f>IF($B27="","",IF(AI27+AJ27+AK27+AM27=0,"",(AI27+AJ27)/(AI27+AJ27+AK27+AM27)))</f>
        <v/>
      </c>
      <c r="AO27" s="41">
        <f>IF($B27="","",IF('Employés'!D25="","",(AI27+AJ27+AL27)*'Employés'!D25))</f>
        <v/>
      </c>
    </row>
    <row r="28" ht="20" customHeight="1">
      <c r="A28" s="37">
        <f>IF('Employés'!B26="","",'Employés'!A26)</f>
        <v/>
      </c>
      <c r="B28" s="38">
        <f>IF('Employés'!B26="","",'Employés'!B26)</f>
        <v/>
      </c>
      <c r="C28" s="38">
        <f>IF('Employés'!C26="","",'Employés'!C26)</f>
        <v/>
      </c>
      <c r="D28" s="37" t="n"/>
      <c r="E28" s="37" t="n"/>
      <c r="F28" s="37" t="n"/>
      <c r="G28" s="37" t="n"/>
      <c r="H28" s="37" t="n"/>
      <c r="I28" s="37" t="n"/>
      <c r="J28" s="37" t="n"/>
      <c r="K28" s="37" t="n"/>
      <c r="L28" s="37" t="n"/>
      <c r="M28" s="37" t="n"/>
      <c r="N28" s="37" t="n"/>
      <c r="O28" s="37" t="n"/>
      <c r="P28" s="37" t="n"/>
      <c r="Q28" s="37" t="n"/>
      <c r="R28" s="37" t="n"/>
      <c r="S28" s="37" t="n"/>
      <c r="T28" s="37" t="n"/>
      <c r="U28" s="37" t="n"/>
      <c r="V28" s="37" t="n"/>
      <c r="W28" s="37" t="n"/>
      <c r="X28" s="37" t="n"/>
      <c r="Y28" s="37" t="n"/>
      <c r="Z28" s="37" t="n"/>
      <c r="AA28" s="37" t="n"/>
      <c r="AB28" s="37" t="n"/>
      <c r="AC28" s="37" t="n"/>
      <c r="AD28" s="37" t="n"/>
      <c r="AE28" s="37" t="n"/>
      <c r="AF28" s="37" t="n"/>
      <c r="AG28" s="37" t="n"/>
      <c r="AH28" s="37" t="n"/>
      <c r="AI28" s="39">
        <f>IF($B28="","",COUNTIF(D28:AH28,"P"))</f>
        <v/>
      </c>
      <c r="AJ28" s="39">
        <f>IF($B28="","",COUNTIF(D28:AH28,"R"))</f>
        <v/>
      </c>
      <c r="AK28" s="39">
        <f>IF($B28="","",COUNTIF(D28:AH28,"A"))</f>
        <v/>
      </c>
      <c r="AL28" s="39">
        <f>IF($B28="","",COUNTIF(D28:AH28,"C"))</f>
        <v/>
      </c>
      <c r="AM28" s="39">
        <f>IF($B28="","",COUNTIF(D28:AH28,"M"))</f>
        <v/>
      </c>
      <c r="AN28" s="40">
        <f>IF($B28="","",IF(AI28+AJ28+AK28+AM28=0,"",(AI28+AJ28)/(AI28+AJ28+AK28+AM28)))</f>
        <v/>
      </c>
      <c r="AO28" s="41">
        <f>IF($B28="","",IF('Employés'!D26="","",(AI28+AJ28+AL28)*'Employés'!D26))</f>
        <v/>
      </c>
    </row>
    <row r="29" ht="20" customHeight="1">
      <c r="A29" s="37">
        <f>IF('Employés'!B27="","",'Employés'!A27)</f>
        <v/>
      </c>
      <c r="B29" s="38">
        <f>IF('Employés'!B27="","",'Employés'!B27)</f>
        <v/>
      </c>
      <c r="C29" s="38">
        <f>IF('Employés'!C27="","",'Employés'!C27)</f>
        <v/>
      </c>
      <c r="D29" s="37" t="n"/>
      <c r="E29" s="37" t="n"/>
      <c r="F29" s="37" t="n"/>
      <c r="G29" s="37" t="n"/>
      <c r="H29" s="37" t="n"/>
      <c r="I29" s="37" t="n"/>
      <c r="J29" s="37" t="n"/>
      <c r="K29" s="37" t="n"/>
      <c r="L29" s="37" t="n"/>
      <c r="M29" s="37" t="n"/>
      <c r="N29" s="37" t="n"/>
      <c r="O29" s="37" t="n"/>
      <c r="P29" s="37" t="n"/>
      <c r="Q29" s="37" t="n"/>
      <c r="R29" s="37" t="n"/>
      <c r="S29" s="37" t="n"/>
      <c r="T29" s="37" t="n"/>
      <c r="U29" s="37" t="n"/>
      <c r="V29" s="37" t="n"/>
      <c r="W29" s="37" t="n"/>
      <c r="X29" s="37" t="n"/>
      <c r="Y29" s="37" t="n"/>
      <c r="Z29" s="37" t="n"/>
      <c r="AA29" s="37" t="n"/>
      <c r="AB29" s="37" t="n"/>
      <c r="AC29" s="37" t="n"/>
      <c r="AD29" s="37" t="n"/>
      <c r="AE29" s="37" t="n"/>
      <c r="AF29" s="37" t="n"/>
      <c r="AG29" s="37" t="n"/>
      <c r="AH29" s="37" t="n"/>
      <c r="AI29" s="39">
        <f>IF($B29="","",COUNTIF(D29:AH29,"P"))</f>
        <v/>
      </c>
      <c r="AJ29" s="39">
        <f>IF($B29="","",COUNTIF(D29:AH29,"R"))</f>
        <v/>
      </c>
      <c r="AK29" s="39">
        <f>IF($B29="","",COUNTIF(D29:AH29,"A"))</f>
        <v/>
      </c>
      <c r="AL29" s="39">
        <f>IF($B29="","",COUNTIF(D29:AH29,"C"))</f>
        <v/>
      </c>
      <c r="AM29" s="39">
        <f>IF($B29="","",COUNTIF(D29:AH29,"M"))</f>
        <v/>
      </c>
      <c r="AN29" s="40">
        <f>IF($B29="","",IF(AI29+AJ29+AK29+AM29=0,"",(AI29+AJ29)/(AI29+AJ29+AK29+AM29)))</f>
        <v/>
      </c>
      <c r="AO29" s="41">
        <f>IF($B29="","",IF('Employés'!D27="","",(AI29+AJ29+AL29)*'Employés'!D27))</f>
        <v/>
      </c>
    </row>
    <row r="30" ht="20" customHeight="1">
      <c r="A30" s="37">
        <f>IF('Employés'!B28="","",'Employés'!A28)</f>
        <v/>
      </c>
      <c r="B30" s="38">
        <f>IF('Employés'!B28="","",'Employés'!B28)</f>
        <v/>
      </c>
      <c r="C30" s="38">
        <f>IF('Employés'!C28="","",'Employés'!C28)</f>
        <v/>
      </c>
      <c r="D30" s="37" t="n"/>
      <c r="E30" s="37" t="n"/>
      <c r="F30" s="37" t="n"/>
      <c r="G30" s="37" t="n"/>
      <c r="H30" s="37" t="n"/>
      <c r="I30" s="37" t="n"/>
      <c r="J30" s="37" t="n"/>
      <c r="K30" s="37" t="n"/>
      <c r="L30" s="37" t="n"/>
      <c r="M30" s="37" t="n"/>
      <c r="N30" s="37" t="n"/>
      <c r="O30" s="37" t="n"/>
      <c r="P30" s="37" t="n"/>
      <c r="Q30" s="37" t="n"/>
      <c r="R30" s="37" t="n"/>
      <c r="S30" s="37" t="n"/>
      <c r="T30" s="37" t="n"/>
      <c r="U30" s="37" t="n"/>
      <c r="V30" s="37" t="n"/>
      <c r="W30" s="37" t="n"/>
      <c r="X30" s="37" t="n"/>
      <c r="Y30" s="37" t="n"/>
      <c r="Z30" s="37" t="n"/>
      <c r="AA30" s="37" t="n"/>
      <c r="AB30" s="37" t="n"/>
      <c r="AC30" s="37" t="n"/>
      <c r="AD30" s="37" t="n"/>
      <c r="AE30" s="37" t="n"/>
      <c r="AF30" s="37" t="n"/>
      <c r="AG30" s="37" t="n"/>
      <c r="AH30" s="37" t="n"/>
      <c r="AI30" s="39">
        <f>IF($B30="","",COUNTIF(D30:AH30,"P"))</f>
        <v/>
      </c>
      <c r="AJ30" s="39">
        <f>IF($B30="","",COUNTIF(D30:AH30,"R"))</f>
        <v/>
      </c>
      <c r="AK30" s="39">
        <f>IF($B30="","",COUNTIF(D30:AH30,"A"))</f>
        <v/>
      </c>
      <c r="AL30" s="39">
        <f>IF($B30="","",COUNTIF(D30:AH30,"C"))</f>
        <v/>
      </c>
      <c r="AM30" s="39">
        <f>IF($B30="","",COUNTIF(D30:AH30,"M"))</f>
        <v/>
      </c>
      <c r="AN30" s="40">
        <f>IF($B30="","",IF(AI30+AJ30+AK30+AM30=0,"",(AI30+AJ30)/(AI30+AJ30+AK30+AM30)))</f>
        <v/>
      </c>
      <c r="AO30" s="41">
        <f>IF($B30="","",IF('Employés'!D28="","",(AI30+AJ30+AL30)*'Employés'!D28))</f>
        <v/>
      </c>
    </row>
    <row r="31" ht="20" customHeight="1">
      <c r="A31" s="37">
        <f>IF('Employés'!B29="","",'Employés'!A29)</f>
        <v/>
      </c>
      <c r="B31" s="38">
        <f>IF('Employés'!B29="","",'Employés'!B29)</f>
        <v/>
      </c>
      <c r="C31" s="38">
        <f>IF('Employés'!C29="","",'Employés'!C29)</f>
        <v/>
      </c>
      <c r="D31" s="37" t="n"/>
      <c r="E31" s="37" t="n"/>
      <c r="F31" s="37" t="n"/>
      <c r="G31" s="37" t="n"/>
      <c r="H31" s="37" t="n"/>
      <c r="I31" s="37" t="n"/>
      <c r="J31" s="37" t="n"/>
      <c r="K31" s="37" t="n"/>
      <c r="L31" s="37" t="n"/>
      <c r="M31" s="37" t="n"/>
      <c r="N31" s="37" t="n"/>
      <c r="O31" s="37" t="n"/>
      <c r="P31" s="37" t="n"/>
      <c r="Q31" s="37" t="n"/>
      <c r="R31" s="37" t="n"/>
      <c r="S31" s="37" t="n"/>
      <c r="T31" s="37" t="n"/>
      <c r="U31" s="37" t="n"/>
      <c r="V31" s="37" t="n"/>
      <c r="W31" s="37" t="n"/>
      <c r="X31" s="37" t="n"/>
      <c r="Y31" s="37" t="n"/>
      <c r="Z31" s="37" t="n"/>
      <c r="AA31" s="37" t="n"/>
      <c r="AB31" s="37" t="n"/>
      <c r="AC31" s="37" t="n"/>
      <c r="AD31" s="37" t="n"/>
      <c r="AE31" s="37" t="n"/>
      <c r="AF31" s="37" t="n"/>
      <c r="AG31" s="37" t="n"/>
      <c r="AH31" s="37" t="n"/>
      <c r="AI31" s="39">
        <f>IF($B31="","",COUNTIF(D31:AH31,"P"))</f>
        <v/>
      </c>
      <c r="AJ31" s="39">
        <f>IF($B31="","",COUNTIF(D31:AH31,"R"))</f>
        <v/>
      </c>
      <c r="AK31" s="39">
        <f>IF($B31="","",COUNTIF(D31:AH31,"A"))</f>
        <v/>
      </c>
      <c r="AL31" s="39">
        <f>IF($B31="","",COUNTIF(D31:AH31,"C"))</f>
        <v/>
      </c>
      <c r="AM31" s="39">
        <f>IF($B31="","",COUNTIF(D31:AH31,"M"))</f>
        <v/>
      </c>
      <c r="AN31" s="40">
        <f>IF($B31="","",IF(AI31+AJ31+AK31+AM31=0,"",(AI31+AJ31)/(AI31+AJ31+AK31+AM31)))</f>
        <v/>
      </c>
      <c r="AO31" s="41">
        <f>IF($B31="","",IF('Employés'!D29="","",(AI31+AJ31+AL31)*'Employés'!D29))</f>
        <v/>
      </c>
    </row>
    <row r="32" ht="20" customHeight="1">
      <c r="A32" s="37">
        <f>IF('Employés'!B30="","",'Employés'!A30)</f>
        <v/>
      </c>
      <c r="B32" s="38">
        <f>IF('Employés'!B30="","",'Employés'!B30)</f>
        <v/>
      </c>
      <c r="C32" s="38">
        <f>IF('Employés'!C30="","",'Employés'!C30)</f>
        <v/>
      </c>
      <c r="D32" s="37" t="n"/>
      <c r="E32" s="37" t="n"/>
      <c r="F32" s="37" t="n"/>
      <c r="G32" s="37" t="n"/>
      <c r="H32" s="37" t="n"/>
      <c r="I32" s="37" t="n"/>
      <c r="J32" s="37" t="n"/>
      <c r="K32" s="37" t="n"/>
      <c r="L32" s="37" t="n"/>
      <c r="M32" s="37" t="n"/>
      <c r="N32" s="37" t="n"/>
      <c r="O32" s="37" t="n"/>
      <c r="P32" s="37" t="n"/>
      <c r="Q32" s="37" t="n"/>
      <c r="R32" s="37" t="n"/>
      <c r="S32" s="37" t="n"/>
      <c r="T32" s="37" t="n"/>
      <c r="U32" s="37" t="n"/>
      <c r="V32" s="37" t="n"/>
      <c r="W32" s="37" t="n"/>
      <c r="X32" s="37" t="n"/>
      <c r="Y32" s="37" t="n"/>
      <c r="Z32" s="37" t="n"/>
      <c r="AA32" s="37" t="n"/>
      <c r="AB32" s="37" t="n"/>
      <c r="AC32" s="37" t="n"/>
      <c r="AD32" s="37" t="n"/>
      <c r="AE32" s="37" t="n"/>
      <c r="AF32" s="37" t="n"/>
      <c r="AG32" s="37" t="n"/>
      <c r="AH32" s="37" t="n"/>
      <c r="AI32" s="39">
        <f>IF($B32="","",COUNTIF(D32:AH32,"P"))</f>
        <v/>
      </c>
      <c r="AJ32" s="39">
        <f>IF($B32="","",COUNTIF(D32:AH32,"R"))</f>
        <v/>
      </c>
      <c r="AK32" s="39">
        <f>IF($B32="","",COUNTIF(D32:AH32,"A"))</f>
        <v/>
      </c>
      <c r="AL32" s="39">
        <f>IF($B32="","",COUNTIF(D32:AH32,"C"))</f>
        <v/>
      </c>
      <c r="AM32" s="39">
        <f>IF($B32="","",COUNTIF(D32:AH32,"M"))</f>
        <v/>
      </c>
      <c r="AN32" s="40">
        <f>IF($B32="","",IF(AI32+AJ32+AK32+AM32=0,"",(AI32+AJ32)/(AI32+AJ32+AK32+AM32)))</f>
        <v/>
      </c>
      <c r="AO32" s="41">
        <f>IF($B32="","",IF('Employés'!D30="","",(AI32+AJ32+AL32)*'Employés'!D30))</f>
        <v/>
      </c>
    </row>
    <row r="33" ht="20" customHeight="1">
      <c r="A33" s="37">
        <f>IF('Employés'!B31="","",'Employés'!A31)</f>
        <v/>
      </c>
      <c r="B33" s="38">
        <f>IF('Employés'!B31="","",'Employés'!B31)</f>
        <v/>
      </c>
      <c r="C33" s="38">
        <f>IF('Employés'!C31="","",'Employés'!C31)</f>
        <v/>
      </c>
      <c r="D33" s="37" t="n"/>
      <c r="E33" s="37" t="n"/>
      <c r="F33" s="37" t="n"/>
      <c r="G33" s="37" t="n"/>
      <c r="H33" s="37" t="n"/>
      <c r="I33" s="37" t="n"/>
      <c r="J33" s="37" t="n"/>
      <c r="K33" s="37" t="n"/>
      <c r="L33" s="37" t="n"/>
      <c r="M33" s="37" t="n"/>
      <c r="N33" s="37" t="n"/>
      <c r="O33" s="37" t="n"/>
      <c r="P33" s="37" t="n"/>
      <c r="Q33" s="37" t="n"/>
      <c r="R33" s="37" t="n"/>
      <c r="S33" s="37" t="n"/>
      <c r="T33" s="37" t="n"/>
      <c r="U33" s="37" t="n"/>
      <c r="V33" s="37" t="n"/>
      <c r="W33" s="37" t="n"/>
      <c r="X33" s="37" t="n"/>
      <c r="Y33" s="37" t="n"/>
      <c r="Z33" s="37" t="n"/>
      <c r="AA33" s="37" t="n"/>
      <c r="AB33" s="37" t="n"/>
      <c r="AC33" s="37" t="n"/>
      <c r="AD33" s="37" t="n"/>
      <c r="AE33" s="37" t="n"/>
      <c r="AF33" s="37" t="n"/>
      <c r="AG33" s="37" t="n"/>
      <c r="AH33" s="37" t="n"/>
      <c r="AI33" s="39">
        <f>IF($B33="","",COUNTIF(D33:AH33,"P"))</f>
        <v/>
      </c>
      <c r="AJ33" s="39">
        <f>IF($B33="","",COUNTIF(D33:AH33,"R"))</f>
        <v/>
      </c>
      <c r="AK33" s="39">
        <f>IF($B33="","",COUNTIF(D33:AH33,"A"))</f>
        <v/>
      </c>
      <c r="AL33" s="39">
        <f>IF($B33="","",COUNTIF(D33:AH33,"C"))</f>
        <v/>
      </c>
      <c r="AM33" s="39">
        <f>IF($B33="","",COUNTIF(D33:AH33,"M"))</f>
        <v/>
      </c>
      <c r="AN33" s="40">
        <f>IF($B33="","",IF(AI33+AJ33+AK33+AM33=0,"",(AI33+AJ33)/(AI33+AJ33+AK33+AM33)))</f>
        <v/>
      </c>
      <c r="AO33" s="41">
        <f>IF($B33="","",IF('Employés'!D31="","",(AI33+AJ33+AL33)*'Employés'!D31))</f>
        <v/>
      </c>
    </row>
    <row r="34" ht="20" customHeight="1">
      <c r="A34" s="37">
        <f>IF('Employés'!B32="","",'Employés'!A32)</f>
        <v/>
      </c>
      <c r="B34" s="38">
        <f>IF('Employés'!B32="","",'Employés'!B32)</f>
        <v/>
      </c>
      <c r="C34" s="38">
        <f>IF('Employés'!C32="","",'Employés'!C32)</f>
        <v/>
      </c>
      <c r="D34" s="37" t="n"/>
      <c r="E34" s="37" t="n"/>
      <c r="F34" s="37" t="n"/>
      <c r="G34" s="37" t="n"/>
      <c r="H34" s="37" t="n"/>
      <c r="I34" s="37" t="n"/>
      <c r="J34" s="37" t="n"/>
      <c r="K34" s="37" t="n"/>
      <c r="L34" s="37" t="n"/>
      <c r="M34" s="37" t="n"/>
      <c r="N34" s="37" t="n"/>
      <c r="O34" s="37" t="n"/>
      <c r="P34" s="37" t="n"/>
      <c r="Q34" s="37" t="n"/>
      <c r="R34" s="37" t="n"/>
      <c r="S34" s="37" t="n"/>
      <c r="T34" s="37" t="n"/>
      <c r="U34" s="37" t="n"/>
      <c r="V34" s="37" t="n"/>
      <c r="W34" s="37" t="n"/>
      <c r="X34" s="37" t="n"/>
      <c r="Y34" s="37" t="n"/>
      <c r="Z34" s="37" t="n"/>
      <c r="AA34" s="37" t="n"/>
      <c r="AB34" s="37" t="n"/>
      <c r="AC34" s="37" t="n"/>
      <c r="AD34" s="37" t="n"/>
      <c r="AE34" s="37" t="n"/>
      <c r="AF34" s="37" t="n"/>
      <c r="AG34" s="37" t="n"/>
      <c r="AH34" s="37" t="n"/>
      <c r="AI34" s="39">
        <f>IF($B34="","",COUNTIF(D34:AH34,"P"))</f>
        <v/>
      </c>
      <c r="AJ34" s="39">
        <f>IF($B34="","",COUNTIF(D34:AH34,"R"))</f>
        <v/>
      </c>
      <c r="AK34" s="39">
        <f>IF($B34="","",COUNTIF(D34:AH34,"A"))</f>
        <v/>
      </c>
      <c r="AL34" s="39">
        <f>IF($B34="","",COUNTIF(D34:AH34,"C"))</f>
        <v/>
      </c>
      <c r="AM34" s="39">
        <f>IF($B34="","",COUNTIF(D34:AH34,"M"))</f>
        <v/>
      </c>
      <c r="AN34" s="40">
        <f>IF($B34="","",IF(AI34+AJ34+AK34+AM34=0,"",(AI34+AJ34)/(AI34+AJ34+AK34+AM34)))</f>
        <v/>
      </c>
      <c r="AO34" s="41">
        <f>IF($B34="","",IF('Employés'!D32="","",(AI34+AJ34+AL34)*'Employés'!D32))</f>
        <v/>
      </c>
    </row>
    <row r="35" ht="20" customHeight="1">
      <c r="A35" s="37">
        <f>IF('Employés'!B33="","",'Employés'!A33)</f>
        <v/>
      </c>
      <c r="B35" s="38">
        <f>IF('Employés'!B33="","",'Employés'!B33)</f>
        <v/>
      </c>
      <c r="C35" s="38">
        <f>IF('Employés'!C33="","",'Employés'!C33)</f>
        <v/>
      </c>
      <c r="D35" s="37" t="n"/>
      <c r="E35" s="37" t="n"/>
      <c r="F35" s="37" t="n"/>
      <c r="G35" s="37" t="n"/>
      <c r="H35" s="37" t="n"/>
      <c r="I35" s="37" t="n"/>
      <c r="J35" s="37" t="n"/>
      <c r="K35" s="37" t="n"/>
      <c r="L35" s="37" t="n"/>
      <c r="M35" s="37" t="n"/>
      <c r="N35" s="37" t="n"/>
      <c r="O35" s="37" t="n"/>
      <c r="P35" s="37" t="n"/>
      <c r="Q35" s="37" t="n"/>
      <c r="R35" s="37" t="n"/>
      <c r="S35" s="37" t="n"/>
      <c r="T35" s="37" t="n"/>
      <c r="U35" s="37" t="n"/>
      <c r="V35" s="37" t="n"/>
      <c r="W35" s="37" t="n"/>
      <c r="X35" s="37" t="n"/>
      <c r="Y35" s="37" t="n"/>
      <c r="Z35" s="37" t="n"/>
      <c r="AA35" s="37" t="n"/>
      <c r="AB35" s="37" t="n"/>
      <c r="AC35" s="37" t="n"/>
      <c r="AD35" s="37" t="n"/>
      <c r="AE35" s="37" t="n"/>
      <c r="AF35" s="37" t="n"/>
      <c r="AG35" s="37" t="n"/>
      <c r="AH35" s="37" t="n"/>
      <c r="AI35" s="39">
        <f>IF($B35="","",COUNTIF(D35:AH35,"P"))</f>
        <v/>
      </c>
      <c r="AJ35" s="39">
        <f>IF($B35="","",COUNTIF(D35:AH35,"R"))</f>
        <v/>
      </c>
      <c r="AK35" s="39">
        <f>IF($B35="","",COUNTIF(D35:AH35,"A"))</f>
        <v/>
      </c>
      <c r="AL35" s="39">
        <f>IF($B35="","",COUNTIF(D35:AH35,"C"))</f>
        <v/>
      </c>
      <c r="AM35" s="39">
        <f>IF($B35="","",COUNTIF(D35:AH35,"M"))</f>
        <v/>
      </c>
      <c r="AN35" s="40">
        <f>IF($B35="","",IF(AI35+AJ35+AK35+AM35=0,"",(AI35+AJ35)/(AI35+AJ35+AK35+AM35)))</f>
        <v/>
      </c>
      <c r="AO35" s="41">
        <f>IF($B35="","",IF('Employés'!D33="","",(AI35+AJ35+AL35)*'Employés'!D33))</f>
        <v/>
      </c>
    </row>
    <row r="36" ht="20" customHeight="1">
      <c r="A36" s="37">
        <f>IF('Employés'!B34="","",'Employés'!A34)</f>
        <v/>
      </c>
      <c r="B36" s="38">
        <f>IF('Employés'!B34="","",'Employés'!B34)</f>
        <v/>
      </c>
      <c r="C36" s="38">
        <f>IF('Employés'!C34="","",'Employés'!C34)</f>
        <v/>
      </c>
      <c r="D36" s="37" t="n"/>
      <c r="E36" s="37" t="n"/>
      <c r="F36" s="37" t="n"/>
      <c r="G36" s="37" t="n"/>
      <c r="H36" s="37" t="n"/>
      <c r="I36" s="37" t="n"/>
      <c r="J36" s="37" t="n"/>
      <c r="K36" s="37" t="n"/>
      <c r="L36" s="37" t="n"/>
      <c r="M36" s="37" t="n"/>
      <c r="N36" s="37" t="n"/>
      <c r="O36" s="37" t="n"/>
      <c r="P36" s="37" t="n"/>
      <c r="Q36" s="37" t="n"/>
      <c r="R36" s="37" t="n"/>
      <c r="S36" s="37" t="n"/>
      <c r="T36" s="37" t="n"/>
      <c r="U36" s="37" t="n"/>
      <c r="V36" s="37" t="n"/>
      <c r="W36" s="37" t="n"/>
      <c r="X36" s="37" t="n"/>
      <c r="Y36" s="37" t="n"/>
      <c r="Z36" s="37" t="n"/>
      <c r="AA36" s="37" t="n"/>
      <c r="AB36" s="37" t="n"/>
      <c r="AC36" s="37" t="n"/>
      <c r="AD36" s="37" t="n"/>
      <c r="AE36" s="37" t="n"/>
      <c r="AF36" s="37" t="n"/>
      <c r="AG36" s="37" t="n"/>
      <c r="AH36" s="37" t="n"/>
      <c r="AI36" s="39">
        <f>IF($B36="","",COUNTIF(D36:AH36,"P"))</f>
        <v/>
      </c>
      <c r="AJ36" s="39">
        <f>IF($B36="","",COUNTIF(D36:AH36,"R"))</f>
        <v/>
      </c>
      <c r="AK36" s="39">
        <f>IF($B36="","",COUNTIF(D36:AH36,"A"))</f>
        <v/>
      </c>
      <c r="AL36" s="39">
        <f>IF($B36="","",COUNTIF(D36:AH36,"C"))</f>
        <v/>
      </c>
      <c r="AM36" s="39">
        <f>IF($B36="","",COUNTIF(D36:AH36,"M"))</f>
        <v/>
      </c>
      <c r="AN36" s="40">
        <f>IF($B36="","",IF(AI36+AJ36+AK36+AM36=0,"",(AI36+AJ36)/(AI36+AJ36+AK36+AM36)))</f>
        <v/>
      </c>
      <c r="AO36" s="41">
        <f>IF($B36="","",IF('Employés'!D34="","",(AI36+AJ36+AL36)*'Employés'!D34))</f>
        <v/>
      </c>
    </row>
    <row r="37">
      <c r="A37" s="42" t="n"/>
      <c r="B37" s="42" t="inlineStr">
        <is>
          <t>TOTAL</t>
        </is>
      </c>
      <c r="C37" s="42" t="n"/>
      <c r="D37" s="42" t="n"/>
      <c r="E37" s="42" t="n"/>
      <c r="F37" s="42" t="n"/>
      <c r="G37" s="42" t="n"/>
      <c r="H37" s="42" t="n"/>
      <c r="I37" s="42" t="n"/>
      <c r="J37" s="42" t="n"/>
      <c r="K37" s="42" t="n"/>
      <c r="L37" s="42" t="n"/>
      <c r="M37" s="42" t="n"/>
      <c r="N37" s="42" t="n"/>
      <c r="O37" s="42" t="n"/>
      <c r="P37" s="42" t="n"/>
      <c r="Q37" s="42" t="n"/>
      <c r="R37" s="42" t="n"/>
      <c r="S37" s="42" t="n"/>
      <c r="T37" s="42" t="n"/>
      <c r="U37" s="42" t="n"/>
      <c r="V37" s="42" t="n"/>
      <c r="W37" s="42" t="n"/>
      <c r="X37" s="42" t="n"/>
      <c r="Y37" s="42" t="n"/>
      <c r="Z37" s="42" t="n"/>
      <c r="AA37" s="42" t="n"/>
      <c r="AB37" s="42" t="n"/>
      <c r="AC37" s="42" t="n"/>
      <c r="AD37" s="42" t="n"/>
      <c r="AE37" s="42" t="n"/>
      <c r="AF37" s="42" t="n"/>
      <c r="AG37" s="42" t="n"/>
      <c r="AH37" s="42" t="n"/>
      <c r="AI37" s="42">
        <f>SUM(AI7:AI36)</f>
        <v/>
      </c>
      <c r="AJ37" s="42">
        <f>SUM(AJ7:AJ36)</f>
        <v/>
      </c>
      <c r="AK37" s="42">
        <f>SUM(AK7:AK36)</f>
        <v/>
      </c>
      <c r="AL37" s="42">
        <f>SUM(AL7:AL36)</f>
        <v/>
      </c>
      <c r="AM37" s="42">
        <f>SUM(AM7:AM36)</f>
        <v/>
      </c>
      <c r="AN37" s="42" t="n"/>
      <c r="AO37" s="43">
        <f>SUM(AO7:AO36)</f>
        <v/>
      </c>
    </row>
  </sheetData>
  <mergeCells count="17">
    <mergeCell ref="A5:A6"/>
    <mergeCell ref="A2:AO2"/>
    <mergeCell ref="AI5:AI6"/>
    <mergeCell ref="D3:G3"/>
    <mergeCell ref="S3:V3"/>
    <mergeCell ref="X3:AA3"/>
    <mergeCell ref="AJ5:AJ6"/>
    <mergeCell ref="AK5:AK6"/>
    <mergeCell ref="I3:L3"/>
    <mergeCell ref="AL5:AL6"/>
    <mergeCell ref="AM5:AM6"/>
    <mergeCell ref="AN5:AN6"/>
    <mergeCell ref="A1:AO1"/>
    <mergeCell ref="N3:Q3"/>
    <mergeCell ref="AO5:AO6"/>
    <mergeCell ref="B5:B6"/>
    <mergeCell ref="C5:C6"/>
  </mergeCells>
  <conditionalFormatting sqref="D7:AH36">
    <cfRule type="expression" priority="1" dxfId="0">
      <formula>UPPER(D7)="P"</formula>
    </cfRule>
    <cfRule type="expression" priority="2" dxfId="1">
      <formula>UPPER(D7)="R"</formula>
    </cfRule>
    <cfRule type="expression" priority="3" dxfId="2">
      <formula>UPPER(D7)="A"</formula>
    </cfRule>
    <cfRule type="expression" priority="4" dxfId="3">
      <formula>UPPER(D7)="C"</formula>
    </cfRule>
    <cfRule type="expression" priority="5" dxfId="4">
      <formula>UPPER(D7)="M"</formula>
    </cfRule>
    <cfRule type="expression" priority="6" dxfId="5">
      <formula>OR(D$6="Sam",D$6="Dim",D$5="")</formula>
    </cfRule>
  </conditionalFormatting>
  <dataValidations count="1">
    <dataValidation sqref="D7:AH36" showDropDown="0" showInputMessage="0" showErrorMessage="1" allowBlank="1" errorTitle="Code inconnu" error="Utilisez P, R, A, C ou M." type="list">
      <formula1>"P,R,A,C,M"</formula1>
    </dataValidation>
  </dataValidation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2026-10-26T21:18:02Z</dcterms:created>
  <dcterms:modified xmlns:dcterms="http://purl.org/dc/terms/" xmlns:xsi="http://www.w3.org/2001/XMLSchema-instance" xsi:type="dcterms:W3CDTF">2026-10-26T21:18:03Z</dcterms:modified>
</cp:coreProperties>
</file>